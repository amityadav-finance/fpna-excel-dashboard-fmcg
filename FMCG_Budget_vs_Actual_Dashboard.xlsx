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/>
  <mc:AlternateContent xmlns:mc="http://schemas.openxmlformats.org/markup-compatibility/2006">
    <mc:Choice Requires="x15">
      <x15ac:absPath xmlns:x15ac="http://schemas.microsoft.com/office/spreadsheetml/2010/11/ac" url="/Users/amityadaav/Downloads/"/>
    </mc:Choice>
  </mc:AlternateContent>
  <xr:revisionPtr revIDLastSave="0" documentId="13_ncr:1_{B782586A-20A8-EB4C-9116-456F51581D44}" xr6:coauthVersionLast="47" xr6:coauthVersionMax="47" xr10:uidLastSave="{00000000-0000-0000-0000-000000000000}"/>
  <bookViews>
    <workbookView xWindow="0" yWindow="660" windowWidth="15420" windowHeight="17140" tabRatio="500" activeTab="7" xr2:uid="{00000000-000D-0000-FFFF-FFFF00000000}"/>
  </bookViews>
  <sheets>
    <sheet name="Dashboard" sheetId="1" r:id="rId1"/>
    <sheet name="Helper" sheetId="2" r:id="rId2"/>
    <sheet name="variance" sheetId="3" r:id="rId3"/>
    <sheet name="Dept_Summary" sheetId="4" r:id="rId4"/>
    <sheet name="actual summary" sheetId="5" r:id="rId5"/>
    <sheet name="budget summary" sheetId="6" r:id="rId6"/>
    <sheet name="Raw_Data" sheetId="7" r:id="rId7"/>
    <sheet name="Budget" sheetId="8" r:id="rId8"/>
  </sheets>
  <definedNames>
    <definedName name="Slicer_Department">#N/A</definedName>
    <definedName name="Slicer_Month">#N/A</definedName>
  </definedNames>
  <calcPr calcId="191029" iterateDelta="1E-4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6" l="1"/>
  <c r="D16" i="6"/>
  <c r="K8" i="3" s="1"/>
  <c r="D15" i="6"/>
  <c r="K9" i="3" s="1"/>
  <c r="D14" i="6"/>
  <c r="K10" i="3" s="1"/>
  <c r="D13" i="6"/>
  <c r="K4" i="3" s="1"/>
  <c r="D12" i="6"/>
  <c r="K14" i="3" s="1"/>
  <c r="D11" i="6"/>
  <c r="K5" i="3" s="1"/>
  <c r="D10" i="6"/>
  <c r="K6" i="3" s="1"/>
  <c r="D9" i="6"/>
  <c r="K12" i="3" s="1"/>
  <c r="D8" i="6"/>
  <c r="K13" i="3" s="1"/>
  <c r="D7" i="6"/>
  <c r="K11" i="3" s="1"/>
  <c r="D6" i="6"/>
  <c r="K7" i="3" s="1"/>
  <c r="D5" i="6"/>
  <c r="K3" i="3" s="1"/>
  <c r="E17" i="5"/>
  <c r="E16" i="5"/>
  <c r="J8" i="3" s="1"/>
  <c r="L8" i="3" s="1"/>
  <c r="E15" i="5"/>
  <c r="J9" i="3" s="1"/>
  <c r="L9" i="3" s="1"/>
  <c r="E14" i="5"/>
  <c r="J10" i="3" s="1"/>
  <c r="E13" i="5"/>
  <c r="J4" i="3" s="1"/>
  <c r="E12" i="5"/>
  <c r="J14" i="3" s="1"/>
  <c r="E11" i="5"/>
  <c r="J5" i="3" s="1"/>
  <c r="E10" i="5"/>
  <c r="J6" i="3" s="1"/>
  <c r="E9" i="5"/>
  <c r="E8" i="5"/>
  <c r="E7" i="5"/>
  <c r="E6" i="5"/>
  <c r="E5" i="5"/>
  <c r="G14" i="3"/>
  <c r="F14" i="3"/>
  <c r="H14" i="3" s="1"/>
  <c r="C14" i="3"/>
  <c r="B14" i="3"/>
  <c r="D14" i="3" s="1"/>
  <c r="J13" i="3"/>
  <c r="L13" i="3" s="1"/>
  <c r="G13" i="3"/>
  <c r="F13" i="3"/>
  <c r="H13" i="3" s="1"/>
  <c r="I13" i="3" s="1"/>
  <c r="C13" i="3"/>
  <c r="B13" i="3"/>
  <c r="D13" i="3" s="1"/>
  <c r="J12" i="3"/>
  <c r="L12" i="3" s="1"/>
  <c r="G12" i="3"/>
  <c r="F12" i="3"/>
  <c r="H12" i="3" s="1"/>
  <c r="C12" i="3"/>
  <c r="B12" i="3"/>
  <c r="D12" i="3" s="1"/>
  <c r="J11" i="3"/>
  <c r="G11" i="3"/>
  <c r="F11" i="3"/>
  <c r="H11" i="3" s="1"/>
  <c r="C11" i="3"/>
  <c r="B11" i="3"/>
  <c r="D11" i="3" s="1"/>
  <c r="G10" i="3"/>
  <c r="F10" i="3"/>
  <c r="H10" i="3" s="1"/>
  <c r="C10" i="3"/>
  <c r="E10" i="3" s="1"/>
  <c r="B10" i="3"/>
  <c r="D10" i="3" s="1"/>
  <c r="G9" i="3"/>
  <c r="F9" i="3"/>
  <c r="H9" i="3" s="1"/>
  <c r="C9" i="3"/>
  <c r="B9" i="3"/>
  <c r="D9" i="3" s="1"/>
  <c r="G8" i="3"/>
  <c r="F8" i="3"/>
  <c r="H8" i="3" s="1"/>
  <c r="E8" i="3"/>
  <c r="D8" i="3"/>
  <c r="C8" i="3"/>
  <c r="B8" i="3"/>
  <c r="J7" i="3"/>
  <c r="G7" i="3"/>
  <c r="I7" i="3" s="1"/>
  <c r="F7" i="3"/>
  <c r="H7" i="3" s="1"/>
  <c r="C7" i="3"/>
  <c r="B7" i="3"/>
  <c r="D7" i="3" s="1"/>
  <c r="G6" i="3"/>
  <c r="F6" i="3"/>
  <c r="H6" i="3" s="1"/>
  <c r="C6" i="3"/>
  <c r="B6" i="3"/>
  <c r="D6" i="3" s="1"/>
  <c r="G5" i="3"/>
  <c r="F5" i="3"/>
  <c r="H5" i="3" s="1"/>
  <c r="C5" i="3"/>
  <c r="E5" i="3" s="1"/>
  <c r="B5" i="3"/>
  <c r="D5" i="3" s="1"/>
  <c r="I4" i="3"/>
  <c r="H4" i="3"/>
  <c r="G4" i="3"/>
  <c r="F4" i="3"/>
  <c r="C4" i="3"/>
  <c r="B4" i="3"/>
  <c r="D4" i="3" s="1"/>
  <c r="J3" i="3"/>
  <c r="G3" i="3"/>
  <c r="F3" i="3"/>
  <c r="H3" i="3" s="1"/>
  <c r="C3" i="3"/>
  <c r="B3" i="3"/>
  <c r="D3" i="3" s="1"/>
  <c r="B3" i="1"/>
  <c r="B2" i="1"/>
  <c r="L11" i="3" l="1"/>
  <c r="M11" i="3"/>
  <c r="B4" i="1"/>
  <c r="B5" i="1"/>
  <c r="L10" i="3"/>
  <c r="M10" i="3" s="1"/>
  <c r="L4" i="3"/>
  <c r="M4" i="3" s="1"/>
  <c r="L14" i="3"/>
  <c r="M14" i="3" s="1"/>
  <c r="L5" i="3"/>
  <c r="M5" i="3" s="1"/>
  <c r="L6" i="3"/>
  <c r="M6" i="3" s="1"/>
  <c r="I14" i="3"/>
  <c r="E14" i="3"/>
  <c r="E13" i="3"/>
  <c r="E12" i="3"/>
  <c r="I9" i="3"/>
  <c r="E9" i="3"/>
  <c r="I8" i="3"/>
  <c r="L7" i="3"/>
  <c r="M7" i="3" s="1"/>
  <c r="M9" i="3"/>
  <c r="M13" i="3"/>
  <c r="I12" i="3"/>
  <c r="E7" i="3"/>
  <c r="I6" i="3"/>
  <c r="E6" i="3"/>
  <c r="I5" i="3"/>
  <c r="M12" i="3"/>
  <c r="I11" i="3"/>
  <c r="E11" i="3"/>
  <c r="I10" i="3"/>
  <c r="E4" i="3"/>
  <c r="L3" i="3"/>
  <c r="M3" i="3" s="1"/>
  <c r="I3" i="3"/>
  <c r="E3" i="3"/>
  <c r="M8" i="3"/>
</calcChain>
</file>

<file path=xl/sharedStrings.xml><?xml version="1.0" encoding="utf-8"?>
<sst xmlns="http://schemas.openxmlformats.org/spreadsheetml/2006/main" count="1269" uniqueCount="81">
  <si>
    <t>KPI</t>
  </si>
  <si>
    <t>Value (Lakh)</t>
  </si>
  <si>
    <t>Total Revenue</t>
  </si>
  <si>
    <t>Total Expense</t>
  </si>
  <si>
    <t>Total Profit</t>
  </si>
  <si>
    <t>Profit % (Margin)</t>
  </si>
  <si>
    <t xml:space="preserve"> </t>
  </si>
  <si>
    <t>month</t>
  </si>
  <si>
    <t>Profit(in lakh)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</si>
  <si>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</si>
  <si>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</si>
  <si>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</si>
  <si>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</si>
  <si>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</si>
  <si>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</si>
  <si>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</si>
  <si>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</si>
  <si>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</si>
  <si>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</si>
  <si>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</si>
  <si>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</si>
  <si>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Budget vs Actual variance report</t>
  </si>
  <si>
    <t>Month</t>
  </si>
  <si>
    <t>Actual Revenue</t>
  </si>
  <si>
    <t>Budget Revenue</t>
  </si>
  <si>
    <t>Var ₹ Rev</t>
  </si>
  <si>
    <t>Var % Rev</t>
  </si>
  <si>
    <t>Actual Expense</t>
  </si>
  <si>
    <t>Budget Expense</t>
  </si>
  <si>
    <t>Var ₹ Exp</t>
  </si>
  <si>
    <t>Var % Exp</t>
  </si>
  <si>
    <t>Actual Profit</t>
  </si>
  <si>
    <t>Budget Profit</t>
  </si>
  <si>
    <t>Var ₹ Profit</t>
  </si>
  <si>
    <t>Var % Profit</t>
  </si>
  <si>
    <t>Type</t>
  </si>
  <si>
    <t>Department</t>
  </si>
  <si>
    <t>Sum of Amount_Lakh</t>
  </si>
  <si>
    <t>HR</t>
  </si>
  <si>
    <t>IT</t>
  </si>
  <si>
    <t>Marketing</t>
  </si>
  <si>
    <t>Operations</t>
  </si>
  <si>
    <t>Sales</t>
  </si>
  <si>
    <t>Total Result</t>
  </si>
  <si>
    <t>Expense</t>
  </si>
  <si>
    <t>Revenue</t>
  </si>
  <si>
    <t>Data</t>
  </si>
  <si>
    <t>Profit(budget)_in lakh</t>
  </si>
  <si>
    <t>Sum of Budget_Revenue_Lakh</t>
  </si>
  <si>
    <t>Sum of Budget_Expense_Lakh</t>
  </si>
  <si>
    <t>Date</t>
  </si>
  <si>
    <t>Category</t>
  </si>
  <si>
    <t>Amount_Lakh</t>
  </si>
  <si>
    <t>2025-04-01</t>
  </si>
  <si>
    <t>Modern Trade</t>
  </si>
  <si>
    <t>General Trade</t>
  </si>
  <si>
    <t>E-commerce</t>
  </si>
  <si>
    <t>Advertising</t>
  </si>
  <si>
    <t>Travel</t>
  </si>
  <si>
    <t>Trade Discount</t>
  </si>
  <si>
    <t>Logistics</t>
  </si>
  <si>
    <t>Utilities</t>
  </si>
  <si>
    <t>Ops Other</t>
  </si>
  <si>
    <t>Salary</t>
  </si>
  <si>
    <t>Rent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</si>
  <si>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</si>
  <si>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</si>
  <si>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</si>
  <si>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</si>
  <si>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</si>
  <si>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</si>
  <si>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</si>
  <si>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</si>
  <si>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</si>
  <si>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</si>
  <si>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</si>
  <si>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Budget_Revenue_Lakh</t>
  </si>
  <si>
    <t>Budget_Expense_Lakh</t>
  </si>
  <si>
    <t>Row Labels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</si>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</sst>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4"/>
      <color theme="1"/>
      <name val="Calibri (Body)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8" fillId="0" borderId="0">
      <alignment horizontal="left"/>
    </xf>
    <xf numFmtId="0" fontId="8" fillId="0" borderId="0"/>
    <xf numFmtId="0" fontId="8" fillId="0" borderId="0"/>
    <xf numFmtId="0" fontId="1" fillId="0" borderId="0"/>
    <xf numFmtId="0" fontId="1" fillId="0" borderId="0">
      <alignment horizontal="left"/>
    </xf>
    <xf numFmtId="0" fontId="8" fillId="0" borderId="0"/>
  </cellStyleXfs>
  <cellXfs count="51">
    <xf numFmtId="0" fontId="0" fillId="0" borderId="0" xfId="0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10" fontId="3" fillId="2" borderId="1" xfId="0" applyNumberFormat="1" applyFont="1" applyFill="1" applyBorder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2" fontId="6" fillId="0" borderId="0" xfId="0" applyNumberFormat="1" applyFont="1"/>
    <xf numFmtId="0" fontId="6" fillId="0" borderId="0" xfId="0" applyFont="1"/>
    <xf numFmtId="2" fontId="0" fillId="0" borderId="0" xfId="0" applyNumberFormat="1"/>
    <xf numFmtId="0" fontId="8" fillId="0" borderId="2" xfId="1" applyBorder="1">
      <alignment horizontal="left"/>
    </xf>
    <xf numFmtId="0" fontId="8" fillId="0" borderId="4" xfId="1" applyBorder="1">
      <alignment horizontal="left"/>
    </xf>
    <xf numFmtId="0" fontId="1" fillId="0" borderId="7" xfId="5" applyBorder="1">
      <alignment horizontal="left"/>
    </xf>
    <xf numFmtId="0" fontId="1" fillId="0" borderId="8" xfId="4" applyBorder="1"/>
    <xf numFmtId="0" fontId="8" fillId="0" borderId="9" xfId="2" applyBorder="1"/>
    <xf numFmtId="0" fontId="8" fillId="0" borderId="10" xfId="3" applyBorder="1"/>
    <xf numFmtId="0" fontId="8" fillId="0" borderId="11" xfId="2" applyBorder="1"/>
    <xf numFmtId="0" fontId="8" fillId="0" borderId="12" xfId="2" applyBorder="1"/>
    <xf numFmtId="0" fontId="8" fillId="0" borderId="13" xfId="3" applyBorder="1"/>
    <xf numFmtId="0" fontId="8" fillId="0" borderId="14" xfId="1" applyBorder="1">
      <alignment horizontal="left"/>
    </xf>
    <xf numFmtId="0" fontId="8" fillId="0" borderId="15" xfId="1" applyBorder="1">
      <alignment horizontal="left"/>
    </xf>
    <xf numFmtId="0" fontId="1" fillId="0" borderId="16" xfId="5" applyBorder="1">
      <alignment horizontal="left"/>
    </xf>
    <xf numFmtId="0" fontId="8" fillId="0" borderId="17" xfId="6" applyBorder="1"/>
    <xf numFmtId="0" fontId="8" fillId="0" borderId="18" xfId="6" applyBorder="1"/>
    <xf numFmtId="0" fontId="1" fillId="0" borderId="3" xfId="4" applyBorder="1"/>
    <xf numFmtId="0" fontId="8" fillId="0" borderId="19" xfId="6" applyBorder="1"/>
    <xf numFmtId="0" fontId="8" fillId="0" borderId="20" xfId="6" applyBorder="1"/>
    <xf numFmtId="0" fontId="1" fillId="0" borderId="5" xfId="4" applyBorder="1"/>
    <xf numFmtId="0" fontId="8" fillId="0" borderId="14" xfId="6" applyBorder="1"/>
    <xf numFmtId="0" fontId="8" fillId="0" borderId="21" xfId="6" applyBorder="1"/>
    <xf numFmtId="0" fontId="1" fillId="0" borderId="6" xfId="4" applyBorder="1"/>
    <xf numFmtId="0" fontId="1" fillId="0" borderId="22" xfId="4" applyBorder="1"/>
    <xf numFmtId="0" fontId="1" fillId="0" borderId="23" xfId="4" applyBorder="1"/>
    <xf numFmtId="2" fontId="1" fillId="0" borderId="0" xfId="0" applyNumberFormat="1" applyFont="1"/>
    <xf numFmtId="0" fontId="8" fillId="0" borderId="16" xfId="1" applyBorder="1">
      <alignment horizontal="left"/>
    </xf>
    <xf numFmtId="0" fontId="8" fillId="0" borderId="24" xfId="6" applyBorder="1"/>
    <xf numFmtId="0" fontId="8" fillId="0" borderId="25" xfId="6" applyBorder="1"/>
    <xf numFmtId="0" fontId="8" fillId="0" borderId="16" xfId="6" applyBorder="1"/>
    <xf numFmtId="0" fontId="1" fillId="0" borderId="26" xfId="4" applyBorder="1"/>
    <xf numFmtId="0" fontId="7" fillId="0" borderId="27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9" fillId="0" borderId="27" xfId="0" applyFont="1" applyBorder="1" applyAlignment="1">
      <alignment horizontal="center" vertical="top"/>
    </xf>
    <xf numFmtId="0" fontId="1" fillId="4" borderId="0" xfId="0" applyFont="1" applyFill="1"/>
    <xf numFmtId="0" fontId="1" fillId="4" borderId="0" xfId="0" applyFont="1" applyFill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EEEC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1" strike="noStrike" spc="-1">
                <a:solidFill>
                  <a:srgbClr val="595959"/>
                </a:solidFill>
                <a:latin typeface="Calibri"/>
              </a:rPr>
              <a:t>Revenue vs Expense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'actual summary'!$B$3:$B$4</c:f>
              <c:strCache>
                <c:ptCount val="2"/>
                <c:pt idx="0">
                  <c:v>Type</c:v>
                </c:pt>
                <c:pt idx="1">
                  <c:v>Expense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'actual summary'!$A$5:$A$16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'actual summary'!$B$5:$B$16</c:f>
              <c:numCache>
                <c:formatCode>General</c:formatCode>
                <c:ptCount val="12"/>
                <c:pt idx="0">
                  <c:v>47.62</c:v>
                </c:pt>
                <c:pt idx="1">
                  <c:v>48.34</c:v>
                </c:pt>
                <c:pt idx="2">
                  <c:v>51.15</c:v>
                </c:pt>
                <c:pt idx="3">
                  <c:v>44.95</c:v>
                </c:pt>
                <c:pt idx="4">
                  <c:v>45.17</c:v>
                </c:pt>
                <c:pt idx="5">
                  <c:v>47.76</c:v>
                </c:pt>
                <c:pt idx="6">
                  <c:v>52.35</c:v>
                </c:pt>
                <c:pt idx="7">
                  <c:v>46.78</c:v>
                </c:pt>
                <c:pt idx="8">
                  <c:v>51.6</c:v>
                </c:pt>
                <c:pt idx="9">
                  <c:v>66.290000000000006</c:v>
                </c:pt>
                <c:pt idx="10">
                  <c:v>62.39</c:v>
                </c:pt>
                <c:pt idx="11">
                  <c:v>50.09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E-F847-A066-ECB97F32D336}"/>
            </c:ext>
          </c:extLst>
        </c:ser>
        <c:ser>
          <c:idx val="1"/>
          <c:order val="1"/>
          <c:tx>
            <c:strRef>
              <c:f>'actual summary'!$C$3:$C$4</c:f>
              <c:strCache>
                <c:ptCount val="2"/>
                <c:pt idx="0">
                  <c:v>Type</c:v>
                </c:pt>
                <c:pt idx="1">
                  <c:v>Revenue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'actual summary'!$A$5:$A$16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'actual summary'!$C$5:$C$16</c:f>
              <c:numCache>
                <c:formatCode>General</c:formatCode>
                <c:ptCount val="12"/>
                <c:pt idx="0">
                  <c:v>94.52</c:v>
                </c:pt>
                <c:pt idx="1">
                  <c:v>100.57</c:v>
                </c:pt>
                <c:pt idx="2">
                  <c:v>117.01</c:v>
                </c:pt>
                <c:pt idx="3">
                  <c:v>91.69</c:v>
                </c:pt>
                <c:pt idx="4">
                  <c:v>89.48</c:v>
                </c:pt>
                <c:pt idx="5">
                  <c:v>97.25</c:v>
                </c:pt>
                <c:pt idx="6">
                  <c:v>109.71</c:v>
                </c:pt>
                <c:pt idx="7">
                  <c:v>101.49</c:v>
                </c:pt>
                <c:pt idx="8">
                  <c:v>104.33</c:v>
                </c:pt>
                <c:pt idx="9">
                  <c:v>136.38999999999999</c:v>
                </c:pt>
                <c:pt idx="10">
                  <c:v>126.41</c:v>
                </c:pt>
                <c:pt idx="11">
                  <c:v>109.46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E-F847-A066-ECB97F32D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412522"/>
        <c:axId val="91481119"/>
      </c:lineChart>
      <c:catAx>
        <c:axId val="374125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481119"/>
        <c:crosses val="autoZero"/>
        <c:auto val="1"/>
        <c:lblAlgn val="ctr"/>
        <c:lblOffset val="100"/>
        <c:noMultiLvlLbl val="0"/>
      </c:catAx>
      <c:valAx>
        <c:axId val="914811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595959"/>
                    </a:solidFill>
                    <a:latin typeface="Calibri"/>
                  </a:rPr>
                  <a:t>revenue/expense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7412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Department-wise Expense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Dept_Summary!$B$3</c:f>
              <c:strCache>
                <c:ptCount val="1"/>
                <c:pt idx="0">
                  <c:v>Sum of Amount_Lakh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Dept_Summary!$A$4:$A$9</c:f>
              <c:strCache>
                <c:ptCount val="6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Operations</c:v>
                </c:pt>
                <c:pt idx="4">
                  <c:v>Sales</c:v>
                </c:pt>
                <c:pt idx="5">
                  <c:v>Grand Total</c:v>
                </c:pt>
              </c:strCache>
            </c:strRef>
          </c:cat>
          <c:val>
            <c:numRef>
              <c:f>Dept_Summary!$B$4:$B$9</c:f>
              <c:numCache>
                <c:formatCode>General</c:formatCode>
                <c:ptCount val="6"/>
                <c:pt idx="0">
                  <c:v>56.400000000000013</c:v>
                </c:pt>
                <c:pt idx="1">
                  <c:v>37.199999999999996</c:v>
                </c:pt>
                <c:pt idx="2">
                  <c:v>182.6</c:v>
                </c:pt>
                <c:pt idx="3">
                  <c:v>159.42999999999992</c:v>
                </c:pt>
                <c:pt idx="4">
                  <c:v>1457.1699999999998</c:v>
                </c:pt>
                <c:pt idx="5">
                  <c:v>1892.7999999999997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A-7945-85D1-8F7DDF44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851755"/>
        <c:axId val="18067492"/>
      </c:barChart>
      <c:catAx>
        <c:axId val="338517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067492"/>
        <c:crosses val="autoZero"/>
        <c:auto val="1"/>
        <c:lblAlgn val="ctr"/>
        <c:lblOffset val="100"/>
        <c:noMultiLvlLbl val="0"/>
      </c:catAx>
      <c:valAx>
        <c:axId val="1806749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3851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Revenue: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72095784682397E-2"/>
          <c:y val="0.17635243706480999"/>
          <c:w val="0.858433933636783"/>
          <c:h val="0.50843599357257596"/>
        </c:manualLayout>
      </c:layout>
      <c:lineChart>
        <c:grouping val="standard"/>
        <c:varyColors val="0"/>
        <c:ser>
          <c:idx val="0"/>
          <c:order val="0"/>
          <c:tx>
            <c:strRef>
              <c:f>variance!$B$2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variance!$A$3:$A$14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variance!$B$3:$B$14</c:f>
              <c:numCache>
                <c:formatCode>0.00</c:formatCode>
                <c:ptCount val="12"/>
                <c:pt idx="0">
                  <c:v>94.52</c:v>
                </c:pt>
                <c:pt idx="1">
                  <c:v>104.33</c:v>
                </c:pt>
                <c:pt idx="2">
                  <c:v>109.71</c:v>
                </c:pt>
                <c:pt idx="3">
                  <c:v>97.25</c:v>
                </c:pt>
                <c:pt idx="4">
                  <c:v>100.57</c:v>
                </c:pt>
                <c:pt idx="5">
                  <c:v>109.46</c:v>
                </c:pt>
                <c:pt idx="6">
                  <c:v>126.41</c:v>
                </c:pt>
                <c:pt idx="7">
                  <c:v>136.38999999999999</c:v>
                </c:pt>
                <c:pt idx="8">
                  <c:v>117.01</c:v>
                </c:pt>
                <c:pt idx="9">
                  <c:v>89.48</c:v>
                </c:pt>
                <c:pt idx="10">
                  <c:v>91.69</c:v>
                </c:pt>
                <c:pt idx="11">
                  <c:v>101.49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0-944F-8B41-7491BC5F50D6}"/>
            </c:ext>
          </c:extLst>
        </c:ser>
        <c:ser>
          <c:idx val="1"/>
          <c:order val="1"/>
          <c:tx>
            <c:strRef>
              <c:f>variance!$C$2</c:f>
              <c:strCache>
                <c:ptCount val="1"/>
                <c:pt idx="0">
                  <c:v>Budget Revenue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variance!$A$3:$A$14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variance!$C$3:$C$14</c:f>
              <c:numCache>
                <c:formatCode>General</c:formatCode>
                <c:ptCount val="12"/>
                <c:pt idx="0">
                  <c:v>95</c:v>
                </c:pt>
                <c:pt idx="1">
                  <c:v>105</c:v>
                </c:pt>
                <c:pt idx="2">
                  <c:v>110</c:v>
                </c:pt>
                <c:pt idx="3">
                  <c:v>98</c:v>
                </c:pt>
                <c:pt idx="4">
                  <c:v>102</c:v>
                </c:pt>
                <c:pt idx="5">
                  <c:v>108</c:v>
                </c:pt>
                <c:pt idx="6">
                  <c:v>125</c:v>
                </c:pt>
                <c:pt idx="7">
                  <c:v>135</c:v>
                </c:pt>
                <c:pt idx="8">
                  <c:v>115</c:v>
                </c:pt>
                <c:pt idx="9">
                  <c:v>90</c:v>
                </c:pt>
                <c:pt idx="10">
                  <c:v>92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0-944F-8B41-7491BC5F5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18626"/>
        <c:axId val="58345670"/>
      </c:lineChart>
      <c:catAx>
        <c:axId val="75186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345670"/>
        <c:crosses val="autoZero"/>
        <c:auto val="1"/>
        <c:lblAlgn val="ctr"/>
        <c:lblOffset val="100"/>
        <c:noMultiLvlLbl val="0"/>
      </c:catAx>
      <c:valAx>
        <c:axId val="583456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5186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IN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1" strike="noStrike" spc="-1">
                <a:solidFill>
                  <a:srgbClr val="595959"/>
                </a:solidFill>
                <a:latin typeface="Calibri"/>
              </a:rPr>
              <a:t>Profit: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variance!$J$2</c:f>
              <c:strCache>
                <c:ptCount val="1"/>
                <c:pt idx="0">
                  <c:v>Actual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variance!$A$3:$A$14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variance!$J$3:$J$14</c:f>
              <c:numCache>
                <c:formatCode>0.00</c:formatCode>
                <c:ptCount val="12"/>
                <c:pt idx="0">
                  <c:v>46.9</c:v>
                </c:pt>
                <c:pt idx="1">
                  <c:v>52.73</c:v>
                </c:pt>
                <c:pt idx="2">
                  <c:v>57.359999999999992</c:v>
                </c:pt>
                <c:pt idx="3">
                  <c:v>49.49</c:v>
                </c:pt>
                <c:pt idx="4">
                  <c:v>52.22999999999999</c:v>
                </c:pt>
                <c:pt idx="5">
                  <c:v>59.36999999999999</c:v>
                </c:pt>
                <c:pt idx="6">
                  <c:v>64.02</c:v>
                </c:pt>
                <c:pt idx="7">
                  <c:v>70.09999999999998</c:v>
                </c:pt>
                <c:pt idx="8">
                  <c:v>65.860000000000014</c:v>
                </c:pt>
                <c:pt idx="9">
                  <c:v>44.31</c:v>
                </c:pt>
                <c:pt idx="10">
                  <c:v>46.739999999999995</c:v>
                </c:pt>
                <c:pt idx="11">
                  <c:v>54.709999999999994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F-854F-BDC1-AA13FDE354F9}"/>
            </c:ext>
          </c:extLst>
        </c:ser>
        <c:ser>
          <c:idx val="1"/>
          <c:order val="1"/>
          <c:tx>
            <c:strRef>
              <c:f>variance!$K$2</c:f>
              <c:strCache>
                <c:ptCount val="1"/>
                <c:pt idx="0">
                  <c:v>Budget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variance!$A$3:$A$14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variance!$K$3:$K$14</c:f>
              <c:numCache>
                <c:formatCode>General</c:formatCode>
                <c:ptCount val="12"/>
                <c:pt idx="0">
                  <c:v>46.8</c:v>
                </c:pt>
                <c:pt idx="1">
                  <c:v>54</c:v>
                </c:pt>
                <c:pt idx="2">
                  <c:v>57.6</c:v>
                </c:pt>
                <c:pt idx="3">
                  <c:v>50.92</c:v>
                </c:pt>
                <c:pt idx="4">
                  <c:v>53.88</c:v>
                </c:pt>
                <c:pt idx="5">
                  <c:v>58.32</c:v>
                </c:pt>
                <c:pt idx="6">
                  <c:v>62.15</c:v>
                </c:pt>
                <c:pt idx="7">
                  <c:v>68.849999999999994</c:v>
                </c:pt>
                <c:pt idx="8">
                  <c:v>63.5</c:v>
                </c:pt>
                <c:pt idx="9">
                  <c:v>45</c:v>
                </c:pt>
                <c:pt idx="10">
                  <c:v>46.48</c:v>
                </c:pt>
                <c:pt idx="11">
                  <c:v>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F-854F-BDC1-AA13FDE35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15587"/>
        <c:axId val="35548195"/>
      </c:barChart>
      <c:catAx>
        <c:axId val="364155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5548195"/>
        <c:crosses val="autoZero"/>
        <c:auto val="1"/>
        <c:lblAlgn val="ctr"/>
        <c:lblOffset val="100"/>
        <c:noMultiLvlLbl val="0"/>
      </c:catAx>
      <c:valAx>
        <c:axId val="355481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4155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</a:rPr>
              <a:t>Var %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variance!$M$2</c:f>
              <c:strCache>
                <c:ptCount val="1"/>
                <c:pt idx="0">
                  <c:v>Var %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variance!$A$3:$A$14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variance!$M$3:$M$14</c:f>
              <c:numCache>
                <c:formatCode>General</c:formatCode>
                <c:ptCount val="12"/>
                <c:pt idx="0">
                  <c:v>2.1367521367521673E-3</c:v>
                </c:pt>
                <c:pt idx="1">
                  <c:v>-2.3518518518518577E-2</c:v>
                </c:pt>
                <c:pt idx="2">
                  <c:v>-4.1666666666668245E-3</c:v>
                </c:pt>
                <c:pt idx="3">
                  <c:v>-2.8083267871170457E-2</c:v>
                </c:pt>
                <c:pt idx="4">
                  <c:v>-3.0623608017817609E-2</c:v>
                </c:pt>
                <c:pt idx="5">
                  <c:v>1.8004115226337276E-2</c:v>
                </c:pt>
                <c:pt idx="6">
                  <c:v>3.0088495575221197E-2</c:v>
                </c:pt>
                <c:pt idx="7">
                  <c:v>1.8155410312272854E-2</c:v>
                </c:pt>
                <c:pt idx="8">
                  <c:v>3.7165354330708875E-2</c:v>
                </c:pt>
                <c:pt idx="9">
                  <c:v>-1.5333333333333282E-2</c:v>
                </c:pt>
                <c:pt idx="10">
                  <c:v>5.5938037865748283E-3</c:v>
                </c:pt>
                <c:pt idx="11">
                  <c:v>4.4083969465648763E-2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E-4746-AA91-3EAB1A812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34727"/>
        <c:axId val="87817011"/>
      </c:barChart>
      <c:catAx>
        <c:axId val="681347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7817011"/>
        <c:crosses val="autoZero"/>
        <c:auto val="1"/>
        <c:lblAlgn val="ctr"/>
        <c:lblOffset val="100"/>
        <c:noMultiLvlLbl val="0"/>
      </c:catAx>
      <c:valAx>
        <c:axId val="878170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134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Profit Trend(in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Helper!$B$1</c:f>
              <c:strCache>
                <c:ptCount val="1"/>
                <c:pt idx="0">
                  <c:v>Profit(in lakh)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Helper!$A$2:$A$13</c:f>
              <c:strCache>
                <c:ptCount val="12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  <c:pt idx="6">
                  <c:v>Oct-2025</c:v>
                </c:pt>
                <c:pt idx="7">
                  <c:v>Nov-2025</c:v>
                </c:pt>
                <c:pt idx="8">
                  <c:v>Dec-2025</c:v>
                </c:pt>
                <c:pt idx="9">
                  <c:v>Jan-2026</c:v>
                </c:pt>
                <c:pt idx="10">
                  <c:v>Feb-2026</c:v>
                </c:pt>
                <c:pt idx="11">
                  <c:v>Mar-2026</c:v>
                </c:pt>
              </c:strCache>
            </c:strRef>
          </c:cat>
          <c:val>
            <c:numRef>
              <c:f>Helper!$B$2:$B$13</c:f>
              <c:numCache>
                <c:formatCode>General</c:formatCode>
                <c:ptCount val="12"/>
                <c:pt idx="0">
                  <c:v>46.9</c:v>
                </c:pt>
                <c:pt idx="1">
                  <c:v>52.73</c:v>
                </c:pt>
                <c:pt idx="2">
                  <c:v>57.36</c:v>
                </c:pt>
                <c:pt idx="3">
                  <c:v>49.49</c:v>
                </c:pt>
                <c:pt idx="4">
                  <c:v>52.23</c:v>
                </c:pt>
                <c:pt idx="5">
                  <c:v>59.37</c:v>
                </c:pt>
                <c:pt idx="6">
                  <c:v>64.02</c:v>
                </c:pt>
                <c:pt idx="7">
                  <c:v>70.099999999999994</c:v>
                </c:pt>
                <c:pt idx="8">
                  <c:v>65.86</c:v>
                </c:pt>
                <c:pt idx="9">
                  <c:v>44.31</c:v>
                </c:pt>
                <c:pt idx="10">
                  <c:v>46.74</c:v>
                </c:pt>
                <c:pt idx="11">
                  <c:v>54.71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1-2440-8614-078D10035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107665"/>
        <c:axId val="30945593"/>
      </c:lineChart>
      <c:catAx>
        <c:axId val="171076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0945593"/>
        <c:crosses val="autoZero"/>
        <c:auto val="1"/>
        <c:lblAlgn val="ctr"/>
        <c:lblOffset val="100"/>
        <c:noMultiLvlLbl val="0"/>
      </c:catAx>
      <c:valAx>
        <c:axId val="30945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7107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</xdr:col>
      <xdr:colOff>590760</xdr:colOff>
      <xdr:row>16</xdr:row>
      <xdr:rowOff>20880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265320</xdr:rowOff>
    </xdr:from>
    <xdr:to>
      <xdr:col>2</xdr:col>
      <xdr:colOff>590760</xdr:colOff>
      <xdr:row>36</xdr:row>
      <xdr:rowOff>14400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117360</xdr:colOff>
      <xdr:row>16</xdr:row>
      <xdr:rowOff>7920</xdr:rowOff>
    </xdr:from>
    <xdr:to>
      <xdr:col>2</xdr:col>
      <xdr:colOff>616680</xdr:colOff>
      <xdr:row>26</xdr:row>
      <xdr:rowOff>28800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601200</xdr:colOff>
      <xdr:row>16</xdr:row>
      <xdr:rowOff>4320</xdr:rowOff>
    </xdr:from>
    <xdr:to>
      <xdr:col>9</xdr:col>
      <xdr:colOff>702000</xdr:colOff>
      <xdr:row>26</xdr:row>
      <xdr:rowOff>25200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577080</xdr:colOff>
      <xdr:row>26</xdr:row>
      <xdr:rowOff>18000</xdr:rowOff>
    </xdr:from>
    <xdr:to>
      <xdr:col>9</xdr:col>
      <xdr:colOff>677880</xdr:colOff>
      <xdr:row>36</xdr:row>
      <xdr:rowOff>38880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603720</xdr:colOff>
      <xdr:row>5</xdr:row>
      <xdr:rowOff>524880</xdr:rowOff>
    </xdr:from>
    <xdr:to>
      <xdr:col>9</xdr:col>
      <xdr:colOff>704520</xdr:colOff>
      <xdr:row>16</xdr:row>
      <xdr:rowOff>19800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04" xr:uid="{00000000-000A-0000-FFFF-FFFF01000000}">
  <cacheSource type="worksheet">
    <worksheetSource ref="A1:F205" sheet="Raw_Data"/>
  </cacheSource>
  <cacheFields count="6">
    <cacheField name="Date" numFmtId="0">
      <sharedItems count="12">
        <s v="2025-04-01"/>
        <s v="2025-05-01"/>
        <s v="2025-06-01"/>
        <s v="2025-07-01"/>
        <s v="2025-08-01"/>
        <s v="2025-09-01"/>
        <s v="2025-10-01"/>
        <s v="2025-11-01"/>
        <s v="2025-12-01"/>
        <s v="2026-01-01"/>
        <s v="2026-02-01"/>
        <s v="2026-03-01"/>
      </sharedItems>
    </cacheField>
    <cacheField name="Month" numFmtId="0">
      <sharedItems count="12">
        <s v="Apr-2025"/>
        <s v="Aug-2025"/>
        <s v="Dec-2025"/>
        <s v="Feb-2026"/>
        <s v="Jan-2026"/>
        <s v="Jul-2025"/>
        <s v="Jun-2025"/>
        <s v="Mar-2026"/>
        <s v="May-2025"/>
        <s v="Nov-2025"/>
        <s v="Oct-2025"/>
        <s v="Sep-2025"/>
      </sharedItems>
    </cacheField>
    <cacheField name="Department" numFmtId="0">
      <sharedItems count="5">
        <s v="HR"/>
        <s v="IT"/>
        <s v="Marketing"/>
        <s v="Operations"/>
        <s v="Sales"/>
      </sharedItems>
    </cacheField>
    <cacheField name="Type" numFmtId="0">
      <sharedItems count="2">
        <s v="Expense"/>
        <s v="Revenue"/>
      </sharedItems>
    </cacheField>
    <cacheField name="Category" numFmtId="0">
      <sharedItems count="11">
        <s v="Advertising"/>
        <s v="E-commerce"/>
        <s v="General Trade"/>
        <s v="Logistics"/>
        <s v="Modern Trade"/>
        <s v="Ops Other"/>
        <s v="Rent"/>
        <s v="Salary"/>
        <s v="Trade Discount"/>
        <s v="Travel"/>
        <s v="Utilities"/>
      </sharedItems>
    </cacheField>
    <cacheField name="Amount_Lakh" numFmtId="0">
      <sharedItems containsSemiMixedTypes="0" containsString="0" containsNumber="1" minValue="0.41" maxValue="60.25" count="99">
        <n v="0.41"/>
        <n v="0.47"/>
        <n v="0.53"/>
        <n v="0.56999999999999995"/>
        <n v="0.6"/>
        <n v="0.62"/>
        <n v="0.64"/>
        <n v="0.67"/>
        <n v="0.7"/>
        <n v="0.74"/>
        <n v="0.82"/>
        <n v="0.83"/>
        <n v="0.9"/>
        <n v="2.2000000000000002"/>
        <n v="2.68"/>
        <n v="2.7"/>
        <n v="2.8"/>
        <n v="2.87"/>
        <n v="2.91"/>
        <n v="3.19"/>
        <n v="3.2"/>
        <n v="3.24"/>
        <n v="3.32"/>
        <n v="3.41"/>
        <n v="3.54"/>
        <n v="3.64"/>
        <n v="3.8"/>
        <n v="4.09"/>
        <n v="4.2"/>
        <n v="4.5"/>
        <n v="4.53"/>
        <n v="4.6900000000000004"/>
        <n v="4.93"/>
        <n v="4.9800000000000004"/>
        <n v="5.35"/>
        <n v="5.45"/>
        <n v="5.49"/>
        <n v="5.71"/>
        <n v="6.17"/>
        <n v="6.66"/>
        <n v="7.22"/>
        <n v="7.45"/>
        <n v="7.96"/>
        <n v="7.98"/>
        <n v="8.6199999999999992"/>
        <n v="8.74"/>
        <n v="8.76"/>
        <n v="8.85"/>
        <n v="8.99"/>
        <n v="9.83"/>
        <n v="9.9499999999999993"/>
        <n v="9.9600000000000009"/>
        <n v="10.15"/>
        <n v="10.53"/>
        <n v="10.85"/>
        <n v="10.91"/>
        <n v="10.92"/>
        <n v="10.97"/>
        <n v="11.77"/>
        <n v="11.89"/>
        <n v="12.59"/>
        <n v="13.56"/>
        <n v="13.65"/>
        <n v="14.57"/>
        <n v="14.93"/>
        <n v="15.3"/>
        <n v="15.58"/>
        <n v="15.88"/>
        <n v="16.170000000000002"/>
        <n v="16.93"/>
        <n v="17.07"/>
        <n v="18.91"/>
        <n v="19.34"/>
        <n v="19.72"/>
        <n v="21.23"/>
        <n v="36.07"/>
        <n v="36.54"/>
        <n v="36.81"/>
        <n v="38.79"/>
        <n v="39.380000000000003"/>
        <n v="39.799999999999997"/>
        <n v="40.54"/>
        <n v="40.93"/>
        <n v="41.97"/>
        <n v="42.73"/>
        <n v="43.14"/>
        <n v="43.53"/>
        <n v="43.9"/>
        <n v="45.19"/>
        <n v="45.65"/>
        <n v="47.09"/>
        <n v="47.23"/>
        <n v="49.68"/>
        <n v="50.05"/>
        <n v="50.1"/>
        <n v="52.85"/>
        <n v="56.42"/>
        <n v="57.4"/>
        <n v="60.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72" xr:uid="{00000000-000A-0000-FFFF-FFFF02000000}">
  <cacheSource type="worksheet">
    <worksheetSource ref="A1:D73" sheet="Budget"/>
  </cacheSource>
  <cacheFields count="4">
    <cacheField name="Month" numFmtId="0">
      <sharedItems count="12">
        <s v="Apr-2025"/>
        <s v="Aug-2025"/>
        <s v="Dec-2025"/>
        <s v="Feb-2026"/>
        <s v="Jan-2026"/>
        <s v="Jul-2025"/>
        <s v="Jun-2025"/>
        <s v="Mar-2026"/>
        <s v="May-2025"/>
        <s v="Nov-2025"/>
        <s v="Oct-2025"/>
        <s v="Sep-2025"/>
      </sharedItems>
    </cacheField>
    <cacheField name="Department" numFmtId="0">
      <sharedItems count="5">
        <s v="HR"/>
        <s v="IT"/>
        <s v="Marketing"/>
        <s v="Operations"/>
        <s v="Sales"/>
      </sharedItems>
    </cacheField>
    <cacheField name="Budget_Revenue_Lakh" numFmtId="0">
      <sharedItems containsSemiMixedTypes="0" containsString="0" containsNumber="1" containsInteger="1" minValue="0" maxValue="135" count="13">
        <n v="0"/>
        <n v="90"/>
        <n v="92"/>
        <n v="95"/>
        <n v="98"/>
        <n v="100"/>
        <n v="102"/>
        <n v="105"/>
        <n v="108"/>
        <n v="110"/>
        <n v="115"/>
        <n v="125"/>
        <n v="135"/>
      </sharedItems>
    </cacheField>
    <cacheField name="Budget_Expense_Lakh" numFmtId="0">
      <sharedItems containsSemiMixedTypes="0" containsString="0" containsNumber="1" minValue="0" maxValue="24.75" count="34">
        <n v="0"/>
        <n v="3.1"/>
        <n v="4.7"/>
        <n v="11.7"/>
        <n v="11.86"/>
        <n v="12"/>
        <n v="12.16"/>
        <n v="12.34"/>
        <n v="12.4"/>
        <n v="12.5"/>
        <n v="12.64"/>
        <n v="12.66"/>
        <n v="12.8"/>
        <n v="12.96"/>
        <n v="13.14"/>
        <n v="13.2"/>
        <n v="13.44"/>
        <n v="13.5"/>
        <n v="13.6"/>
        <n v="13.7"/>
        <n v="14"/>
        <n v="14.3"/>
        <n v="14.5"/>
        <n v="14.7"/>
        <n v="14.8"/>
        <n v="15"/>
        <n v="15.3"/>
        <n v="15.5"/>
        <n v="15.6"/>
        <n v="16"/>
        <n v="17"/>
        <n v="18"/>
        <n v="23.25"/>
        <n v="24.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4">
  <r>
    <x v="0"/>
    <x v="0"/>
    <x v="4"/>
    <x v="1"/>
    <x v="4"/>
    <x v="85"/>
  </r>
  <r>
    <x v="0"/>
    <x v="0"/>
    <x v="4"/>
    <x v="1"/>
    <x v="2"/>
    <x v="77"/>
  </r>
  <r>
    <x v="0"/>
    <x v="0"/>
    <x v="4"/>
    <x v="1"/>
    <x v="1"/>
    <x v="63"/>
  </r>
  <r>
    <x v="0"/>
    <x v="0"/>
    <x v="2"/>
    <x v="0"/>
    <x v="0"/>
    <x v="50"/>
  </r>
  <r>
    <x v="0"/>
    <x v="0"/>
    <x v="2"/>
    <x v="0"/>
    <x v="9"/>
    <x v="6"/>
  </r>
  <r>
    <x v="0"/>
    <x v="0"/>
    <x v="4"/>
    <x v="0"/>
    <x v="8"/>
    <x v="46"/>
  </r>
  <r>
    <x v="0"/>
    <x v="0"/>
    <x v="3"/>
    <x v="0"/>
    <x v="3"/>
    <x v="29"/>
  </r>
  <r>
    <x v="0"/>
    <x v="0"/>
    <x v="3"/>
    <x v="0"/>
    <x v="10"/>
    <x v="4"/>
  </r>
  <r>
    <x v="0"/>
    <x v="0"/>
    <x v="3"/>
    <x v="0"/>
    <x v="5"/>
    <x v="17"/>
  </r>
  <r>
    <x v="0"/>
    <x v="0"/>
    <x v="0"/>
    <x v="0"/>
    <x v="7"/>
    <x v="20"/>
  </r>
  <r>
    <x v="0"/>
    <x v="0"/>
    <x v="0"/>
    <x v="0"/>
    <x v="6"/>
    <x v="12"/>
  </r>
  <r>
    <x v="0"/>
    <x v="0"/>
    <x v="1"/>
    <x v="0"/>
    <x v="7"/>
    <x v="13"/>
  </r>
  <r>
    <x v="0"/>
    <x v="0"/>
    <x v="1"/>
    <x v="0"/>
    <x v="6"/>
    <x v="12"/>
  </r>
  <r>
    <x v="0"/>
    <x v="0"/>
    <x v="4"/>
    <x v="0"/>
    <x v="7"/>
    <x v="29"/>
  </r>
  <r>
    <x v="0"/>
    <x v="0"/>
    <x v="2"/>
    <x v="0"/>
    <x v="7"/>
    <x v="26"/>
  </r>
  <r>
    <x v="0"/>
    <x v="0"/>
    <x v="3"/>
    <x v="0"/>
    <x v="7"/>
    <x v="28"/>
  </r>
  <r>
    <x v="0"/>
    <x v="0"/>
    <x v="0"/>
    <x v="0"/>
    <x v="10"/>
    <x v="4"/>
  </r>
  <r>
    <x v="1"/>
    <x v="8"/>
    <x v="4"/>
    <x v="1"/>
    <x v="4"/>
    <x v="91"/>
  </r>
  <r>
    <x v="1"/>
    <x v="8"/>
    <x v="4"/>
    <x v="1"/>
    <x v="2"/>
    <x v="82"/>
  </r>
  <r>
    <x v="1"/>
    <x v="8"/>
    <x v="4"/>
    <x v="1"/>
    <x v="1"/>
    <x v="68"/>
  </r>
  <r>
    <x v="1"/>
    <x v="8"/>
    <x v="2"/>
    <x v="0"/>
    <x v="0"/>
    <x v="55"/>
  </r>
  <r>
    <x v="1"/>
    <x v="8"/>
    <x v="2"/>
    <x v="0"/>
    <x v="9"/>
    <x v="2"/>
  </r>
  <r>
    <x v="1"/>
    <x v="8"/>
    <x v="4"/>
    <x v="0"/>
    <x v="8"/>
    <x v="53"/>
  </r>
  <r>
    <x v="1"/>
    <x v="8"/>
    <x v="3"/>
    <x v="0"/>
    <x v="3"/>
    <x v="36"/>
  </r>
  <r>
    <x v="1"/>
    <x v="8"/>
    <x v="3"/>
    <x v="0"/>
    <x v="10"/>
    <x v="4"/>
  </r>
  <r>
    <x v="1"/>
    <x v="8"/>
    <x v="3"/>
    <x v="0"/>
    <x v="5"/>
    <x v="21"/>
  </r>
  <r>
    <x v="1"/>
    <x v="8"/>
    <x v="0"/>
    <x v="0"/>
    <x v="7"/>
    <x v="20"/>
  </r>
  <r>
    <x v="1"/>
    <x v="8"/>
    <x v="0"/>
    <x v="0"/>
    <x v="6"/>
    <x v="12"/>
  </r>
  <r>
    <x v="1"/>
    <x v="8"/>
    <x v="1"/>
    <x v="0"/>
    <x v="7"/>
    <x v="13"/>
  </r>
  <r>
    <x v="1"/>
    <x v="8"/>
    <x v="1"/>
    <x v="0"/>
    <x v="6"/>
    <x v="12"/>
  </r>
  <r>
    <x v="1"/>
    <x v="8"/>
    <x v="4"/>
    <x v="0"/>
    <x v="7"/>
    <x v="29"/>
  </r>
  <r>
    <x v="1"/>
    <x v="8"/>
    <x v="2"/>
    <x v="0"/>
    <x v="7"/>
    <x v="26"/>
  </r>
  <r>
    <x v="1"/>
    <x v="8"/>
    <x v="3"/>
    <x v="0"/>
    <x v="7"/>
    <x v="28"/>
  </r>
  <r>
    <x v="1"/>
    <x v="8"/>
    <x v="0"/>
    <x v="0"/>
    <x v="10"/>
    <x v="4"/>
  </r>
  <r>
    <x v="2"/>
    <x v="6"/>
    <x v="4"/>
    <x v="1"/>
    <x v="4"/>
    <x v="93"/>
  </r>
  <r>
    <x v="2"/>
    <x v="6"/>
    <x v="4"/>
    <x v="1"/>
    <x v="2"/>
    <x v="84"/>
  </r>
  <r>
    <x v="2"/>
    <x v="6"/>
    <x v="4"/>
    <x v="1"/>
    <x v="1"/>
    <x v="69"/>
  </r>
  <r>
    <x v="2"/>
    <x v="6"/>
    <x v="2"/>
    <x v="0"/>
    <x v="0"/>
    <x v="57"/>
  </r>
  <r>
    <x v="2"/>
    <x v="6"/>
    <x v="2"/>
    <x v="0"/>
    <x v="9"/>
    <x v="7"/>
  </r>
  <r>
    <x v="2"/>
    <x v="6"/>
    <x v="4"/>
    <x v="0"/>
    <x v="8"/>
    <x v="56"/>
  </r>
  <r>
    <x v="2"/>
    <x v="6"/>
    <x v="3"/>
    <x v="0"/>
    <x v="3"/>
    <x v="34"/>
  </r>
  <r>
    <x v="2"/>
    <x v="6"/>
    <x v="3"/>
    <x v="0"/>
    <x v="10"/>
    <x v="4"/>
  </r>
  <r>
    <x v="2"/>
    <x v="6"/>
    <x v="3"/>
    <x v="0"/>
    <x v="5"/>
    <x v="24"/>
  </r>
  <r>
    <x v="2"/>
    <x v="6"/>
    <x v="0"/>
    <x v="0"/>
    <x v="7"/>
    <x v="20"/>
  </r>
  <r>
    <x v="2"/>
    <x v="6"/>
    <x v="0"/>
    <x v="0"/>
    <x v="6"/>
    <x v="12"/>
  </r>
  <r>
    <x v="2"/>
    <x v="6"/>
    <x v="1"/>
    <x v="0"/>
    <x v="7"/>
    <x v="13"/>
  </r>
  <r>
    <x v="2"/>
    <x v="6"/>
    <x v="1"/>
    <x v="0"/>
    <x v="6"/>
    <x v="12"/>
  </r>
  <r>
    <x v="2"/>
    <x v="6"/>
    <x v="4"/>
    <x v="0"/>
    <x v="7"/>
    <x v="29"/>
  </r>
  <r>
    <x v="2"/>
    <x v="6"/>
    <x v="2"/>
    <x v="0"/>
    <x v="7"/>
    <x v="26"/>
  </r>
  <r>
    <x v="2"/>
    <x v="6"/>
    <x v="3"/>
    <x v="0"/>
    <x v="7"/>
    <x v="28"/>
  </r>
  <r>
    <x v="2"/>
    <x v="6"/>
    <x v="0"/>
    <x v="0"/>
    <x v="10"/>
    <x v="4"/>
  </r>
  <r>
    <x v="3"/>
    <x v="5"/>
    <x v="4"/>
    <x v="1"/>
    <x v="4"/>
    <x v="86"/>
  </r>
  <r>
    <x v="3"/>
    <x v="5"/>
    <x v="4"/>
    <x v="1"/>
    <x v="2"/>
    <x v="78"/>
  </r>
  <r>
    <x v="3"/>
    <x v="5"/>
    <x v="4"/>
    <x v="1"/>
    <x v="1"/>
    <x v="64"/>
  </r>
  <r>
    <x v="3"/>
    <x v="5"/>
    <x v="2"/>
    <x v="0"/>
    <x v="0"/>
    <x v="43"/>
  </r>
  <r>
    <x v="3"/>
    <x v="5"/>
    <x v="2"/>
    <x v="0"/>
    <x v="9"/>
    <x v="5"/>
  </r>
  <r>
    <x v="3"/>
    <x v="5"/>
    <x v="4"/>
    <x v="0"/>
    <x v="8"/>
    <x v="51"/>
  </r>
  <r>
    <x v="3"/>
    <x v="5"/>
    <x v="3"/>
    <x v="0"/>
    <x v="3"/>
    <x v="33"/>
  </r>
  <r>
    <x v="3"/>
    <x v="5"/>
    <x v="3"/>
    <x v="0"/>
    <x v="10"/>
    <x v="4"/>
  </r>
  <r>
    <x v="3"/>
    <x v="5"/>
    <x v="3"/>
    <x v="0"/>
    <x v="5"/>
    <x v="22"/>
  </r>
  <r>
    <x v="3"/>
    <x v="5"/>
    <x v="0"/>
    <x v="0"/>
    <x v="7"/>
    <x v="20"/>
  </r>
  <r>
    <x v="3"/>
    <x v="5"/>
    <x v="0"/>
    <x v="0"/>
    <x v="6"/>
    <x v="12"/>
  </r>
  <r>
    <x v="3"/>
    <x v="5"/>
    <x v="1"/>
    <x v="0"/>
    <x v="7"/>
    <x v="13"/>
  </r>
  <r>
    <x v="3"/>
    <x v="5"/>
    <x v="1"/>
    <x v="0"/>
    <x v="6"/>
    <x v="12"/>
  </r>
  <r>
    <x v="3"/>
    <x v="5"/>
    <x v="4"/>
    <x v="0"/>
    <x v="7"/>
    <x v="29"/>
  </r>
  <r>
    <x v="3"/>
    <x v="5"/>
    <x v="2"/>
    <x v="0"/>
    <x v="7"/>
    <x v="26"/>
  </r>
  <r>
    <x v="3"/>
    <x v="5"/>
    <x v="3"/>
    <x v="0"/>
    <x v="7"/>
    <x v="28"/>
  </r>
  <r>
    <x v="3"/>
    <x v="5"/>
    <x v="0"/>
    <x v="0"/>
    <x v="10"/>
    <x v="4"/>
  </r>
  <r>
    <x v="4"/>
    <x v="1"/>
    <x v="4"/>
    <x v="1"/>
    <x v="4"/>
    <x v="88"/>
  </r>
  <r>
    <x v="4"/>
    <x v="1"/>
    <x v="4"/>
    <x v="1"/>
    <x v="2"/>
    <x v="80"/>
  </r>
  <r>
    <x v="4"/>
    <x v="1"/>
    <x v="4"/>
    <x v="1"/>
    <x v="1"/>
    <x v="66"/>
  </r>
  <r>
    <x v="4"/>
    <x v="1"/>
    <x v="2"/>
    <x v="0"/>
    <x v="0"/>
    <x v="44"/>
  </r>
  <r>
    <x v="4"/>
    <x v="1"/>
    <x v="2"/>
    <x v="0"/>
    <x v="9"/>
    <x v="11"/>
  </r>
  <r>
    <x v="4"/>
    <x v="1"/>
    <x v="4"/>
    <x v="0"/>
    <x v="8"/>
    <x v="52"/>
  </r>
  <r>
    <x v="4"/>
    <x v="1"/>
    <x v="3"/>
    <x v="0"/>
    <x v="3"/>
    <x v="32"/>
  </r>
  <r>
    <x v="4"/>
    <x v="1"/>
    <x v="3"/>
    <x v="0"/>
    <x v="10"/>
    <x v="4"/>
  </r>
  <r>
    <x v="4"/>
    <x v="1"/>
    <x v="3"/>
    <x v="0"/>
    <x v="5"/>
    <x v="18"/>
  </r>
  <r>
    <x v="4"/>
    <x v="1"/>
    <x v="0"/>
    <x v="0"/>
    <x v="7"/>
    <x v="20"/>
  </r>
  <r>
    <x v="4"/>
    <x v="1"/>
    <x v="0"/>
    <x v="0"/>
    <x v="6"/>
    <x v="12"/>
  </r>
  <r>
    <x v="4"/>
    <x v="1"/>
    <x v="1"/>
    <x v="0"/>
    <x v="7"/>
    <x v="13"/>
  </r>
  <r>
    <x v="4"/>
    <x v="1"/>
    <x v="1"/>
    <x v="0"/>
    <x v="6"/>
    <x v="12"/>
  </r>
  <r>
    <x v="4"/>
    <x v="1"/>
    <x v="4"/>
    <x v="0"/>
    <x v="7"/>
    <x v="29"/>
  </r>
  <r>
    <x v="4"/>
    <x v="1"/>
    <x v="2"/>
    <x v="0"/>
    <x v="7"/>
    <x v="26"/>
  </r>
  <r>
    <x v="4"/>
    <x v="1"/>
    <x v="3"/>
    <x v="0"/>
    <x v="7"/>
    <x v="28"/>
  </r>
  <r>
    <x v="4"/>
    <x v="1"/>
    <x v="0"/>
    <x v="0"/>
    <x v="10"/>
    <x v="4"/>
  </r>
  <r>
    <x v="5"/>
    <x v="11"/>
    <x v="4"/>
    <x v="1"/>
    <x v="4"/>
    <x v="92"/>
  </r>
  <r>
    <x v="5"/>
    <x v="11"/>
    <x v="4"/>
    <x v="1"/>
    <x v="2"/>
    <x v="87"/>
  </r>
  <r>
    <x v="5"/>
    <x v="11"/>
    <x v="4"/>
    <x v="1"/>
    <x v="1"/>
    <x v="67"/>
  </r>
  <r>
    <x v="5"/>
    <x v="11"/>
    <x v="2"/>
    <x v="0"/>
    <x v="0"/>
    <x v="45"/>
  </r>
  <r>
    <x v="5"/>
    <x v="11"/>
    <x v="2"/>
    <x v="0"/>
    <x v="9"/>
    <x v="9"/>
  </r>
  <r>
    <x v="5"/>
    <x v="11"/>
    <x v="4"/>
    <x v="0"/>
    <x v="8"/>
    <x v="54"/>
  </r>
  <r>
    <x v="5"/>
    <x v="11"/>
    <x v="3"/>
    <x v="0"/>
    <x v="3"/>
    <x v="35"/>
  </r>
  <r>
    <x v="5"/>
    <x v="11"/>
    <x v="3"/>
    <x v="0"/>
    <x v="10"/>
    <x v="4"/>
  </r>
  <r>
    <x v="5"/>
    <x v="11"/>
    <x v="3"/>
    <x v="0"/>
    <x v="5"/>
    <x v="23"/>
  </r>
  <r>
    <x v="5"/>
    <x v="11"/>
    <x v="0"/>
    <x v="0"/>
    <x v="7"/>
    <x v="20"/>
  </r>
  <r>
    <x v="5"/>
    <x v="11"/>
    <x v="0"/>
    <x v="0"/>
    <x v="6"/>
    <x v="12"/>
  </r>
  <r>
    <x v="5"/>
    <x v="11"/>
    <x v="1"/>
    <x v="0"/>
    <x v="7"/>
    <x v="13"/>
  </r>
  <r>
    <x v="5"/>
    <x v="11"/>
    <x v="1"/>
    <x v="0"/>
    <x v="6"/>
    <x v="12"/>
  </r>
  <r>
    <x v="5"/>
    <x v="11"/>
    <x v="4"/>
    <x v="0"/>
    <x v="7"/>
    <x v="29"/>
  </r>
  <r>
    <x v="5"/>
    <x v="11"/>
    <x v="2"/>
    <x v="0"/>
    <x v="7"/>
    <x v="26"/>
  </r>
  <r>
    <x v="5"/>
    <x v="11"/>
    <x v="3"/>
    <x v="0"/>
    <x v="7"/>
    <x v="28"/>
  </r>
  <r>
    <x v="5"/>
    <x v="11"/>
    <x v="0"/>
    <x v="0"/>
    <x v="10"/>
    <x v="4"/>
  </r>
  <r>
    <x v="6"/>
    <x v="10"/>
    <x v="4"/>
    <x v="1"/>
    <x v="4"/>
    <x v="97"/>
  </r>
  <r>
    <x v="6"/>
    <x v="10"/>
    <x v="4"/>
    <x v="1"/>
    <x v="2"/>
    <x v="94"/>
  </r>
  <r>
    <x v="6"/>
    <x v="10"/>
    <x v="4"/>
    <x v="1"/>
    <x v="1"/>
    <x v="71"/>
  </r>
  <r>
    <x v="6"/>
    <x v="10"/>
    <x v="2"/>
    <x v="0"/>
    <x v="0"/>
    <x v="72"/>
  </r>
  <r>
    <x v="6"/>
    <x v="10"/>
    <x v="2"/>
    <x v="0"/>
    <x v="9"/>
    <x v="3"/>
  </r>
  <r>
    <x v="6"/>
    <x v="10"/>
    <x v="4"/>
    <x v="0"/>
    <x v="8"/>
    <x v="58"/>
  </r>
  <r>
    <x v="6"/>
    <x v="10"/>
    <x v="3"/>
    <x v="0"/>
    <x v="3"/>
    <x v="38"/>
  </r>
  <r>
    <x v="6"/>
    <x v="10"/>
    <x v="3"/>
    <x v="0"/>
    <x v="10"/>
    <x v="4"/>
  </r>
  <r>
    <x v="6"/>
    <x v="10"/>
    <x v="3"/>
    <x v="0"/>
    <x v="5"/>
    <x v="25"/>
  </r>
  <r>
    <x v="6"/>
    <x v="10"/>
    <x v="0"/>
    <x v="0"/>
    <x v="7"/>
    <x v="20"/>
  </r>
  <r>
    <x v="6"/>
    <x v="10"/>
    <x v="0"/>
    <x v="0"/>
    <x v="6"/>
    <x v="12"/>
  </r>
  <r>
    <x v="6"/>
    <x v="10"/>
    <x v="1"/>
    <x v="0"/>
    <x v="7"/>
    <x v="13"/>
  </r>
  <r>
    <x v="6"/>
    <x v="10"/>
    <x v="1"/>
    <x v="0"/>
    <x v="6"/>
    <x v="12"/>
  </r>
  <r>
    <x v="6"/>
    <x v="10"/>
    <x v="4"/>
    <x v="0"/>
    <x v="7"/>
    <x v="29"/>
  </r>
  <r>
    <x v="6"/>
    <x v="10"/>
    <x v="2"/>
    <x v="0"/>
    <x v="7"/>
    <x v="26"/>
  </r>
  <r>
    <x v="6"/>
    <x v="10"/>
    <x v="3"/>
    <x v="0"/>
    <x v="7"/>
    <x v="28"/>
  </r>
  <r>
    <x v="6"/>
    <x v="10"/>
    <x v="0"/>
    <x v="0"/>
    <x v="10"/>
    <x v="4"/>
  </r>
  <r>
    <x v="7"/>
    <x v="9"/>
    <x v="4"/>
    <x v="1"/>
    <x v="4"/>
    <x v="98"/>
  </r>
  <r>
    <x v="7"/>
    <x v="9"/>
    <x v="4"/>
    <x v="1"/>
    <x v="2"/>
    <x v="96"/>
  </r>
  <r>
    <x v="7"/>
    <x v="9"/>
    <x v="4"/>
    <x v="1"/>
    <x v="1"/>
    <x v="73"/>
  </r>
  <r>
    <x v="7"/>
    <x v="9"/>
    <x v="2"/>
    <x v="0"/>
    <x v="0"/>
    <x v="74"/>
  </r>
  <r>
    <x v="7"/>
    <x v="9"/>
    <x v="2"/>
    <x v="0"/>
    <x v="9"/>
    <x v="10"/>
  </r>
  <r>
    <x v="7"/>
    <x v="9"/>
    <x v="4"/>
    <x v="0"/>
    <x v="8"/>
    <x v="60"/>
  </r>
  <r>
    <x v="7"/>
    <x v="9"/>
    <x v="3"/>
    <x v="0"/>
    <x v="3"/>
    <x v="39"/>
  </r>
  <r>
    <x v="7"/>
    <x v="9"/>
    <x v="3"/>
    <x v="0"/>
    <x v="10"/>
    <x v="4"/>
  </r>
  <r>
    <x v="7"/>
    <x v="9"/>
    <x v="3"/>
    <x v="0"/>
    <x v="5"/>
    <x v="27"/>
  </r>
  <r>
    <x v="7"/>
    <x v="9"/>
    <x v="0"/>
    <x v="0"/>
    <x v="7"/>
    <x v="20"/>
  </r>
  <r>
    <x v="7"/>
    <x v="9"/>
    <x v="0"/>
    <x v="0"/>
    <x v="6"/>
    <x v="12"/>
  </r>
  <r>
    <x v="7"/>
    <x v="9"/>
    <x v="1"/>
    <x v="0"/>
    <x v="7"/>
    <x v="13"/>
  </r>
  <r>
    <x v="7"/>
    <x v="9"/>
    <x v="1"/>
    <x v="0"/>
    <x v="6"/>
    <x v="12"/>
  </r>
  <r>
    <x v="7"/>
    <x v="9"/>
    <x v="4"/>
    <x v="0"/>
    <x v="7"/>
    <x v="29"/>
  </r>
  <r>
    <x v="7"/>
    <x v="9"/>
    <x v="2"/>
    <x v="0"/>
    <x v="7"/>
    <x v="26"/>
  </r>
  <r>
    <x v="7"/>
    <x v="9"/>
    <x v="3"/>
    <x v="0"/>
    <x v="7"/>
    <x v="28"/>
  </r>
  <r>
    <x v="7"/>
    <x v="9"/>
    <x v="0"/>
    <x v="0"/>
    <x v="10"/>
    <x v="4"/>
  </r>
  <r>
    <x v="8"/>
    <x v="2"/>
    <x v="4"/>
    <x v="1"/>
    <x v="4"/>
    <x v="95"/>
  </r>
  <r>
    <x v="8"/>
    <x v="2"/>
    <x v="4"/>
    <x v="1"/>
    <x v="2"/>
    <x v="90"/>
  </r>
  <r>
    <x v="8"/>
    <x v="2"/>
    <x v="4"/>
    <x v="1"/>
    <x v="1"/>
    <x v="70"/>
  </r>
  <r>
    <x v="8"/>
    <x v="2"/>
    <x v="2"/>
    <x v="0"/>
    <x v="0"/>
    <x v="48"/>
  </r>
  <r>
    <x v="8"/>
    <x v="2"/>
    <x v="2"/>
    <x v="0"/>
    <x v="9"/>
    <x v="1"/>
  </r>
  <r>
    <x v="8"/>
    <x v="2"/>
    <x v="4"/>
    <x v="0"/>
    <x v="8"/>
    <x v="59"/>
  </r>
  <r>
    <x v="8"/>
    <x v="2"/>
    <x v="3"/>
    <x v="0"/>
    <x v="3"/>
    <x v="37"/>
  </r>
  <r>
    <x v="8"/>
    <x v="2"/>
    <x v="3"/>
    <x v="0"/>
    <x v="10"/>
    <x v="4"/>
  </r>
  <r>
    <x v="8"/>
    <x v="2"/>
    <x v="3"/>
    <x v="0"/>
    <x v="5"/>
    <x v="19"/>
  </r>
  <r>
    <x v="8"/>
    <x v="2"/>
    <x v="0"/>
    <x v="0"/>
    <x v="7"/>
    <x v="20"/>
  </r>
  <r>
    <x v="8"/>
    <x v="2"/>
    <x v="0"/>
    <x v="0"/>
    <x v="6"/>
    <x v="12"/>
  </r>
  <r>
    <x v="8"/>
    <x v="2"/>
    <x v="1"/>
    <x v="0"/>
    <x v="7"/>
    <x v="13"/>
  </r>
  <r>
    <x v="8"/>
    <x v="2"/>
    <x v="1"/>
    <x v="0"/>
    <x v="6"/>
    <x v="12"/>
  </r>
  <r>
    <x v="8"/>
    <x v="2"/>
    <x v="4"/>
    <x v="0"/>
    <x v="7"/>
    <x v="29"/>
  </r>
  <r>
    <x v="8"/>
    <x v="2"/>
    <x v="2"/>
    <x v="0"/>
    <x v="7"/>
    <x v="26"/>
  </r>
  <r>
    <x v="8"/>
    <x v="2"/>
    <x v="3"/>
    <x v="0"/>
    <x v="7"/>
    <x v="28"/>
  </r>
  <r>
    <x v="8"/>
    <x v="2"/>
    <x v="0"/>
    <x v="0"/>
    <x v="10"/>
    <x v="4"/>
  </r>
  <r>
    <x v="9"/>
    <x v="4"/>
    <x v="4"/>
    <x v="1"/>
    <x v="4"/>
    <x v="79"/>
  </r>
  <r>
    <x v="9"/>
    <x v="4"/>
    <x v="4"/>
    <x v="1"/>
    <x v="2"/>
    <x v="76"/>
  </r>
  <r>
    <x v="9"/>
    <x v="4"/>
    <x v="4"/>
    <x v="1"/>
    <x v="1"/>
    <x v="61"/>
  </r>
  <r>
    <x v="9"/>
    <x v="4"/>
    <x v="2"/>
    <x v="0"/>
    <x v="0"/>
    <x v="41"/>
  </r>
  <r>
    <x v="9"/>
    <x v="4"/>
    <x v="2"/>
    <x v="0"/>
    <x v="9"/>
    <x v="6"/>
  </r>
  <r>
    <x v="9"/>
    <x v="4"/>
    <x v="4"/>
    <x v="0"/>
    <x v="8"/>
    <x v="47"/>
  </r>
  <r>
    <x v="9"/>
    <x v="4"/>
    <x v="3"/>
    <x v="0"/>
    <x v="3"/>
    <x v="30"/>
  </r>
  <r>
    <x v="9"/>
    <x v="4"/>
    <x v="3"/>
    <x v="0"/>
    <x v="10"/>
    <x v="4"/>
  </r>
  <r>
    <x v="9"/>
    <x v="4"/>
    <x v="3"/>
    <x v="0"/>
    <x v="5"/>
    <x v="16"/>
  </r>
  <r>
    <x v="9"/>
    <x v="4"/>
    <x v="0"/>
    <x v="0"/>
    <x v="7"/>
    <x v="20"/>
  </r>
  <r>
    <x v="9"/>
    <x v="4"/>
    <x v="0"/>
    <x v="0"/>
    <x v="6"/>
    <x v="12"/>
  </r>
  <r>
    <x v="9"/>
    <x v="4"/>
    <x v="1"/>
    <x v="0"/>
    <x v="7"/>
    <x v="13"/>
  </r>
  <r>
    <x v="9"/>
    <x v="4"/>
    <x v="1"/>
    <x v="0"/>
    <x v="6"/>
    <x v="12"/>
  </r>
  <r>
    <x v="9"/>
    <x v="4"/>
    <x v="4"/>
    <x v="0"/>
    <x v="7"/>
    <x v="29"/>
  </r>
  <r>
    <x v="9"/>
    <x v="4"/>
    <x v="2"/>
    <x v="0"/>
    <x v="7"/>
    <x v="26"/>
  </r>
  <r>
    <x v="9"/>
    <x v="4"/>
    <x v="3"/>
    <x v="0"/>
    <x v="7"/>
    <x v="28"/>
  </r>
  <r>
    <x v="9"/>
    <x v="4"/>
    <x v="0"/>
    <x v="0"/>
    <x v="10"/>
    <x v="4"/>
  </r>
  <r>
    <x v="10"/>
    <x v="3"/>
    <x v="4"/>
    <x v="1"/>
    <x v="4"/>
    <x v="83"/>
  </r>
  <r>
    <x v="10"/>
    <x v="3"/>
    <x v="4"/>
    <x v="1"/>
    <x v="2"/>
    <x v="75"/>
  </r>
  <r>
    <x v="10"/>
    <x v="3"/>
    <x v="4"/>
    <x v="1"/>
    <x v="1"/>
    <x v="62"/>
  </r>
  <r>
    <x v="10"/>
    <x v="3"/>
    <x v="2"/>
    <x v="0"/>
    <x v="0"/>
    <x v="40"/>
  </r>
  <r>
    <x v="10"/>
    <x v="3"/>
    <x v="2"/>
    <x v="0"/>
    <x v="9"/>
    <x v="8"/>
  </r>
  <r>
    <x v="10"/>
    <x v="3"/>
    <x v="4"/>
    <x v="0"/>
    <x v="8"/>
    <x v="46"/>
  </r>
  <r>
    <x v="10"/>
    <x v="3"/>
    <x v="3"/>
    <x v="0"/>
    <x v="3"/>
    <x v="31"/>
  </r>
  <r>
    <x v="10"/>
    <x v="3"/>
    <x v="3"/>
    <x v="0"/>
    <x v="10"/>
    <x v="4"/>
  </r>
  <r>
    <x v="10"/>
    <x v="3"/>
    <x v="3"/>
    <x v="0"/>
    <x v="5"/>
    <x v="14"/>
  </r>
  <r>
    <x v="10"/>
    <x v="3"/>
    <x v="0"/>
    <x v="0"/>
    <x v="7"/>
    <x v="20"/>
  </r>
  <r>
    <x v="10"/>
    <x v="3"/>
    <x v="0"/>
    <x v="0"/>
    <x v="6"/>
    <x v="12"/>
  </r>
  <r>
    <x v="10"/>
    <x v="3"/>
    <x v="1"/>
    <x v="0"/>
    <x v="7"/>
    <x v="13"/>
  </r>
  <r>
    <x v="10"/>
    <x v="3"/>
    <x v="1"/>
    <x v="0"/>
    <x v="6"/>
    <x v="12"/>
  </r>
  <r>
    <x v="10"/>
    <x v="3"/>
    <x v="4"/>
    <x v="0"/>
    <x v="7"/>
    <x v="29"/>
  </r>
  <r>
    <x v="10"/>
    <x v="3"/>
    <x v="2"/>
    <x v="0"/>
    <x v="7"/>
    <x v="26"/>
  </r>
  <r>
    <x v="10"/>
    <x v="3"/>
    <x v="3"/>
    <x v="0"/>
    <x v="7"/>
    <x v="28"/>
  </r>
  <r>
    <x v="10"/>
    <x v="3"/>
    <x v="0"/>
    <x v="0"/>
    <x v="10"/>
    <x v="4"/>
  </r>
  <r>
    <x v="11"/>
    <x v="7"/>
    <x v="4"/>
    <x v="1"/>
    <x v="4"/>
    <x v="89"/>
  </r>
  <r>
    <x v="11"/>
    <x v="7"/>
    <x v="4"/>
    <x v="1"/>
    <x v="2"/>
    <x v="81"/>
  </r>
  <r>
    <x v="11"/>
    <x v="7"/>
    <x v="4"/>
    <x v="1"/>
    <x v="1"/>
    <x v="65"/>
  </r>
  <r>
    <x v="11"/>
    <x v="7"/>
    <x v="2"/>
    <x v="0"/>
    <x v="0"/>
    <x v="42"/>
  </r>
  <r>
    <x v="11"/>
    <x v="7"/>
    <x v="2"/>
    <x v="0"/>
    <x v="9"/>
    <x v="0"/>
  </r>
  <r>
    <x v="11"/>
    <x v="7"/>
    <x v="4"/>
    <x v="0"/>
    <x v="8"/>
    <x v="49"/>
  </r>
  <r>
    <x v="11"/>
    <x v="7"/>
    <x v="3"/>
    <x v="0"/>
    <x v="3"/>
    <x v="33"/>
  </r>
  <r>
    <x v="11"/>
    <x v="7"/>
    <x v="3"/>
    <x v="0"/>
    <x v="10"/>
    <x v="4"/>
  </r>
  <r>
    <x v="11"/>
    <x v="7"/>
    <x v="3"/>
    <x v="0"/>
    <x v="5"/>
    <x v="15"/>
  </r>
  <r>
    <x v="11"/>
    <x v="7"/>
    <x v="0"/>
    <x v="0"/>
    <x v="7"/>
    <x v="20"/>
  </r>
  <r>
    <x v="11"/>
    <x v="7"/>
    <x v="0"/>
    <x v="0"/>
    <x v="6"/>
    <x v="12"/>
  </r>
  <r>
    <x v="11"/>
    <x v="7"/>
    <x v="1"/>
    <x v="0"/>
    <x v="7"/>
    <x v="13"/>
  </r>
  <r>
    <x v="11"/>
    <x v="7"/>
    <x v="1"/>
    <x v="0"/>
    <x v="6"/>
    <x v="12"/>
  </r>
  <r>
    <x v="11"/>
    <x v="7"/>
    <x v="4"/>
    <x v="0"/>
    <x v="7"/>
    <x v="29"/>
  </r>
  <r>
    <x v="11"/>
    <x v="7"/>
    <x v="2"/>
    <x v="0"/>
    <x v="7"/>
    <x v="26"/>
  </r>
  <r>
    <x v="11"/>
    <x v="7"/>
    <x v="3"/>
    <x v="0"/>
    <x v="7"/>
    <x v="28"/>
  </r>
  <r>
    <x v="11"/>
    <x v="7"/>
    <x v="0"/>
    <x v="0"/>
    <x v="1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2">
  <r>
    <x v="0"/>
    <x v="4"/>
    <x v="3"/>
    <x v="0"/>
  </r>
  <r>
    <x v="0"/>
    <x v="2"/>
    <x v="0"/>
    <x v="20"/>
  </r>
  <r>
    <x v="0"/>
    <x v="4"/>
    <x v="0"/>
    <x v="20"/>
  </r>
  <r>
    <x v="0"/>
    <x v="3"/>
    <x v="0"/>
    <x v="8"/>
  </r>
  <r>
    <x v="0"/>
    <x v="0"/>
    <x v="0"/>
    <x v="2"/>
  </r>
  <r>
    <x v="0"/>
    <x v="1"/>
    <x v="0"/>
    <x v="1"/>
  </r>
  <r>
    <x v="8"/>
    <x v="4"/>
    <x v="7"/>
    <x v="0"/>
  </r>
  <r>
    <x v="8"/>
    <x v="2"/>
    <x v="0"/>
    <x v="25"/>
  </r>
  <r>
    <x v="8"/>
    <x v="4"/>
    <x v="0"/>
    <x v="25"/>
  </r>
  <r>
    <x v="8"/>
    <x v="3"/>
    <x v="0"/>
    <x v="15"/>
  </r>
  <r>
    <x v="8"/>
    <x v="0"/>
    <x v="0"/>
    <x v="2"/>
  </r>
  <r>
    <x v="8"/>
    <x v="1"/>
    <x v="0"/>
    <x v="1"/>
  </r>
  <r>
    <x v="6"/>
    <x v="4"/>
    <x v="9"/>
    <x v="0"/>
  </r>
  <r>
    <x v="6"/>
    <x v="2"/>
    <x v="0"/>
    <x v="27"/>
  </r>
  <r>
    <x v="6"/>
    <x v="4"/>
    <x v="0"/>
    <x v="27"/>
  </r>
  <r>
    <x v="6"/>
    <x v="3"/>
    <x v="0"/>
    <x v="18"/>
  </r>
  <r>
    <x v="6"/>
    <x v="0"/>
    <x v="0"/>
    <x v="2"/>
  </r>
  <r>
    <x v="6"/>
    <x v="1"/>
    <x v="0"/>
    <x v="1"/>
  </r>
  <r>
    <x v="5"/>
    <x v="4"/>
    <x v="4"/>
    <x v="0"/>
  </r>
  <r>
    <x v="5"/>
    <x v="2"/>
    <x v="0"/>
    <x v="7"/>
  </r>
  <r>
    <x v="5"/>
    <x v="4"/>
    <x v="0"/>
    <x v="21"/>
  </r>
  <r>
    <x v="5"/>
    <x v="3"/>
    <x v="0"/>
    <x v="10"/>
  </r>
  <r>
    <x v="5"/>
    <x v="0"/>
    <x v="0"/>
    <x v="2"/>
  </r>
  <r>
    <x v="5"/>
    <x v="1"/>
    <x v="0"/>
    <x v="1"/>
  </r>
  <r>
    <x v="1"/>
    <x v="4"/>
    <x v="6"/>
    <x v="0"/>
  </r>
  <r>
    <x v="1"/>
    <x v="2"/>
    <x v="0"/>
    <x v="11"/>
  </r>
  <r>
    <x v="1"/>
    <x v="4"/>
    <x v="0"/>
    <x v="23"/>
  </r>
  <r>
    <x v="1"/>
    <x v="3"/>
    <x v="0"/>
    <x v="13"/>
  </r>
  <r>
    <x v="1"/>
    <x v="0"/>
    <x v="0"/>
    <x v="2"/>
  </r>
  <r>
    <x v="1"/>
    <x v="1"/>
    <x v="0"/>
    <x v="1"/>
  </r>
  <r>
    <x v="11"/>
    <x v="4"/>
    <x v="8"/>
    <x v="0"/>
  </r>
  <r>
    <x v="11"/>
    <x v="2"/>
    <x v="0"/>
    <x v="14"/>
  </r>
  <r>
    <x v="11"/>
    <x v="4"/>
    <x v="0"/>
    <x v="26"/>
  </r>
  <r>
    <x v="11"/>
    <x v="3"/>
    <x v="0"/>
    <x v="16"/>
  </r>
  <r>
    <x v="11"/>
    <x v="0"/>
    <x v="0"/>
    <x v="2"/>
  </r>
  <r>
    <x v="11"/>
    <x v="1"/>
    <x v="0"/>
    <x v="1"/>
  </r>
  <r>
    <x v="10"/>
    <x v="4"/>
    <x v="11"/>
    <x v="0"/>
  </r>
  <r>
    <x v="10"/>
    <x v="2"/>
    <x v="0"/>
    <x v="32"/>
  </r>
  <r>
    <x v="10"/>
    <x v="4"/>
    <x v="0"/>
    <x v="30"/>
  </r>
  <r>
    <x v="10"/>
    <x v="3"/>
    <x v="0"/>
    <x v="24"/>
  </r>
  <r>
    <x v="10"/>
    <x v="0"/>
    <x v="0"/>
    <x v="2"/>
  </r>
  <r>
    <x v="10"/>
    <x v="1"/>
    <x v="0"/>
    <x v="1"/>
  </r>
  <r>
    <x v="9"/>
    <x v="4"/>
    <x v="12"/>
    <x v="0"/>
  </r>
  <r>
    <x v="9"/>
    <x v="2"/>
    <x v="0"/>
    <x v="33"/>
  </r>
  <r>
    <x v="9"/>
    <x v="4"/>
    <x v="0"/>
    <x v="31"/>
  </r>
  <r>
    <x v="9"/>
    <x v="3"/>
    <x v="0"/>
    <x v="28"/>
  </r>
  <r>
    <x v="9"/>
    <x v="0"/>
    <x v="0"/>
    <x v="2"/>
  </r>
  <r>
    <x v="9"/>
    <x v="1"/>
    <x v="0"/>
    <x v="1"/>
  </r>
  <r>
    <x v="2"/>
    <x v="4"/>
    <x v="10"/>
    <x v="0"/>
  </r>
  <r>
    <x v="2"/>
    <x v="2"/>
    <x v="0"/>
    <x v="19"/>
  </r>
  <r>
    <x v="2"/>
    <x v="4"/>
    <x v="0"/>
    <x v="29"/>
  </r>
  <r>
    <x v="2"/>
    <x v="3"/>
    <x v="0"/>
    <x v="20"/>
  </r>
  <r>
    <x v="2"/>
    <x v="0"/>
    <x v="0"/>
    <x v="2"/>
  </r>
  <r>
    <x v="2"/>
    <x v="1"/>
    <x v="0"/>
    <x v="1"/>
  </r>
  <r>
    <x v="4"/>
    <x v="4"/>
    <x v="1"/>
    <x v="0"/>
  </r>
  <r>
    <x v="4"/>
    <x v="2"/>
    <x v="0"/>
    <x v="3"/>
  </r>
  <r>
    <x v="4"/>
    <x v="4"/>
    <x v="0"/>
    <x v="17"/>
  </r>
  <r>
    <x v="4"/>
    <x v="3"/>
    <x v="0"/>
    <x v="5"/>
  </r>
  <r>
    <x v="4"/>
    <x v="0"/>
    <x v="0"/>
    <x v="2"/>
  </r>
  <r>
    <x v="4"/>
    <x v="1"/>
    <x v="0"/>
    <x v="1"/>
  </r>
  <r>
    <x v="3"/>
    <x v="4"/>
    <x v="2"/>
    <x v="0"/>
  </r>
  <r>
    <x v="3"/>
    <x v="2"/>
    <x v="0"/>
    <x v="4"/>
  </r>
  <r>
    <x v="3"/>
    <x v="4"/>
    <x v="0"/>
    <x v="19"/>
  </r>
  <r>
    <x v="3"/>
    <x v="3"/>
    <x v="0"/>
    <x v="6"/>
  </r>
  <r>
    <x v="3"/>
    <x v="0"/>
    <x v="0"/>
    <x v="2"/>
  </r>
  <r>
    <x v="3"/>
    <x v="1"/>
    <x v="0"/>
    <x v="1"/>
  </r>
  <r>
    <x v="7"/>
    <x v="4"/>
    <x v="5"/>
    <x v="0"/>
  </r>
  <r>
    <x v="7"/>
    <x v="2"/>
    <x v="0"/>
    <x v="9"/>
  </r>
  <r>
    <x v="7"/>
    <x v="4"/>
    <x v="0"/>
    <x v="22"/>
  </r>
  <r>
    <x v="7"/>
    <x v="3"/>
    <x v="0"/>
    <x v="12"/>
  </r>
  <r>
    <x v="7"/>
    <x v="0"/>
    <x v="0"/>
    <x v="2"/>
  </r>
  <r>
    <x v="7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0" dataCaption="Values" updatedVersion="8" itemPrintTitles="1" indent="0" outline="1" outlineData="1">
  <location ref="A3:B9" firstHeaderRow="1" firstDataRow="1" firstDataCol="1" rowPageCount="1" colPageCount="1"/>
  <pivotFields count="6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Amount_Lakh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0" applyNumberFormats="0" applyBorderFormats="0" applyFontFormats="0" applyPatternFormats="0" applyAlignmentFormats="0" applyWidthHeightFormats="0" dataCaption="Values" itemPrintTitles="1" indent="0" outline="1" outlineData="1">
  <location ref="A3:D17" firstHeaderRow="1" firstDataRow="2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1"/>
  </rowFields>
  <colFields count="1">
    <field x="3"/>
  </colFields>
  <dataFields count="1">
    <dataField name="Sum of Amount_Lakh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4" cacheId="1" applyNumberFormats="0" applyBorderFormats="0" applyFontFormats="0" applyPatternFormats="0" applyAlignmentFormats="0" applyWidthHeightFormats="0" dataCaption="Values" itemPrintTitles="1" indent="0" outline="1" outlineData="1">
  <location ref="A3:C17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</pivotFields>
  <rowFields count="1">
    <field x="0"/>
  </rowFields>
  <colFields count="1">
    <field x="-2"/>
  </colFields>
  <dataFields count="2">
    <dataField name="Sum of Budget_Revenue_Lakh" fld="2" baseField="0" baseItem="0"/>
    <dataField name="Sum of Budget_Expense_Lakh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05" totalsRowShown="0" headerRowDxfId="0" headerRowBorderDxfId="1">
  <tableColumns count="6">
    <tableColumn id="1" xr3:uid="{00000000-0010-0000-0000-000001000000}" name="Date"/>
    <tableColumn id="2" xr3:uid="{00000000-0010-0000-0000-000002000000}" name="Month"/>
    <tableColumn id="3" xr3:uid="{00000000-0010-0000-0000-000003000000}" name="Department"/>
    <tableColumn id="4" xr3:uid="{00000000-0010-0000-0000-000004000000}" name="Type"/>
    <tableColumn id="5" xr3:uid="{00000000-0010-0000-0000-000005000000}" name="Category"/>
    <tableColumn id="6" xr3:uid="{00000000-0010-0000-0000-000006000000}" name="Amount_Lakh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73" totalsRowShown="0">
  <autoFilter ref="A1:D73" xr:uid="{00000000-0009-0000-0100-000002000000}"/>
  <tableColumns count="4">
    <tableColumn id="1" xr3:uid="{00000000-0010-0000-0100-000001000000}" name="Month"/>
    <tableColumn id="2" xr3:uid="{00000000-0010-0000-0100-000002000000}" name="Department"/>
    <tableColumn id="3" xr3:uid="{00000000-0010-0000-0100-000003000000}" name="Budget_Revenue_Lakh"/>
    <tableColumn id="4" xr3:uid="{00000000-0010-0000-0100-000004000000}" name="Budget_Expense_Lak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zoomScale="75" zoomScaleNormal="75" workbookViewId="0">
      <selection activeCell="L22" sqref="L22"/>
    </sheetView>
  </sheetViews>
  <sheetFormatPr baseColWidth="10" defaultColWidth="10.83203125" defaultRowHeight="21" x14ac:dyDescent="0.25"/>
  <cols>
    <col min="1" max="1" width="34.33203125" style="3" customWidth="1"/>
    <col min="2" max="2" width="36" style="3" customWidth="1"/>
    <col min="3" max="12" width="10.83203125" style="3"/>
    <col min="13" max="13" width="5.5" style="3" customWidth="1"/>
    <col min="14" max="16384" width="10.83203125" style="3"/>
  </cols>
  <sheetData>
    <row r="1" spans="1:18" ht="21" customHeight="1" x14ac:dyDescent="0.25">
      <c r="A1" s="4" t="s">
        <v>0</v>
      </c>
      <c r="B1" s="4" t="s">
        <v>1</v>
      </c>
    </row>
    <row r="2" spans="1:18" ht="21" customHeight="1" x14ac:dyDescent="0.25">
      <c r="A2" s="5" t="s">
        <v>2</v>
      </c>
      <c r="B2" s="6">
        <f>'actual summary'!C17</f>
        <v>1278.31</v>
      </c>
    </row>
    <row r="3" spans="1:18" ht="21" customHeight="1" x14ac:dyDescent="0.25">
      <c r="A3" s="5" t="s">
        <v>3</v>
      </c>
      <c r="B3" s="6">
        <f>'actual summary'!B17</f>
        <v>614.49</v>
      </c>
    </row>
    <row r="4" spans="1:18" ht="21" customHeight="1" x14ac:dyDescent="0.25">
      <c r="A4" s="5" t="s">
        <v>4</v>
      </c>
      <c r="B4" s="6">
        <f>B2-B3</f>
        <v>663.81999999999994</v>
      </c>
    </row>
    <row r="5" spans="1:18" ht="21" customHeight="1" x14ac:dyDescent="0.25">
      <c r="A5" s="5" t="s">
        <v>5</v>
      </c>
      <c r="B5" s="7">
        <f>IF(B2=0,"",B4/B2)</f>
        <v>0.51929500668851836</v>
      </c>
    </row>
    <row r="6" spans="1:18" ht="42" customHeight="1" x14ac:dyDescent="0.25">
      <c r="A6" s="2"/>
      <c r="B6" s="2"/>
      <c r="C6" s="2"/>
      <c r="D6" s="2"/>
      <c r="E6" s="2"/>
      <c r="F6" s="2"/>
      <c r="G6" s="2"/>
      <c r="H6" s="2"/>
    </row>
    <row r="7" spans="1:18" ht="21" customHeight="1" x14ac:dyDescent="0.25">
      <c r="R7" s="3" t="s">
        <v>6</v>
      </c>
    </row>
    <row r="23" spans="1:1" ht="21" customHeight="1" x14ac:dyDescent="0.25">
      <c r="A23" s="8"/>
    </row>
  </sheetData>
  <mergeCells count="1">
    <mergeCell ref="A6:H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baseColWidth="10" defaultColWidth="10.6640625" defaultRowHeight="15" x14ac:dyDescent="0.2"/>
  <sheetData>
    <row r="1" spans="1:2" ht="15" customHeight="1" x14ac:dyDescent="0.2">
      <c r="A1" t="s">
        <v>7</v>
      </c>
      <c r="B1" t="s">
        <v>8</v>
      </c>
    </row>
    <row r="2" spans="1:2" ht="15" customHeight="1" x14ac:dyDescent="0.2">
      <c r="A2" s="9" t="s">
        <v>9</v>
      </c>
      <c r="B2">
        <v>46.9</v>
      </c>
    </row>
    <row r="3" spans="1:2" ht="15" customHeight="1" x14ac:dyDescent="0.2">
      <c r="A3" s="9" t="s">
        <v>10</v>
      </c>
      <c r="B3">
        <v>52.73</v>
      </c>
    </row>
    <row r="4" spans="1:2" ht="15" customHeight="1" x14ac:dyDescent="0.2">
      <c r="A4" s="9" t="s">
        <v>11</v>
      </c>
      <c r="B4">
        <v>57.36</v>
      </c>
    </row>
    <row r="5" spans="1:2" ht="15" customHeight="1" x14ac:dyDescent="0.2">
      <c r="A5" s="9" t="s">
        <v>12</v>
      </c>
      <c r="B5">
        <v>49.49</v>
      </c>
    </row>
    <row r="6" spans="1:2" ht="15" customHeight="1" x14ac:dyDescent="0.2">
      <c r="A6" s="9" t="s">
        <v>13</v>
      </c>
      <c r="B6">
        <v>52.23</v>
      </c>
    </row>
    <row r="7" spans="1:2" ht="15" customHeight="1" x14ac:dyDescent="0.2">
      <c r="A7" s="9" t="s">
        <v>14</v>
      </c>
      <c r="B7">
        <v>59.37</v>
      </c>
    </row>
    <row r="8" spans="1:2" ht="15" customHeight="1" x14ac:dyDescent="0.2">
      <c r="A8" s="9" t="s">
        <v>15</v>
      </c>
      <c r="B8">
        <v>64.02</v>
      </c>
    </row>
    <row r="9" spans="1:2" ht="15" customHeight="1" x14ac:dyDescent="0.2">
      <c r="A9" s="9" t="s">
        <v>16</v>
      </c>
      <c r="B9">
        <v>70.099999999999994</v>
      </c>
    </row>
    <row r="10" spans="1:2" ht="15" customHeight="1" x14ac:dyDescent="0.2">
      <c r="A10" s="9" t="s">
        <v>17</v>
      </c>
      <c r="B10">
        <v>65.86</v>
      </c>
    </row>
    <row r="11" spans="1:2" ht="15" customHeight="1" x14ac:dyDescent="0.2">
      <c r="A11" s="9" t="s">
        <v>18</v>
      </c>
      <c r="B11">
        <v>44.31</v>
      </c>
    </row>
    <row r="12" spans="1:2" ht="15" customHeight="1" x14ac:dyDescent="0.2">
      <c r="A12" s="9" t="s">
        <v>19</v>
      </c>
      <c r="B12">
        <v>46.74</v>
      </c>
    </row>
    <row r="13" spans="1:2" ht="15" customHeight="1" x14ac:dyDescent="0.2">
      <c r="A13" s="9" t="s">
        <v>20</v>
      </c>
      <c r="B13">
        <v>54.71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workbookViewId="0">
      <selection activeCell="P30" sqref="P30"/>
    </sheetView>
  </sheetViews>
  <sheetFormatPr baseColWidth="10" defaultColWidth="10.6640625" defaultRowHeight="15" x14ac:dyDescent="0.2"/>
  <cols>
    <col min="1" max="1" width="8.83203125" customWidth="1"/>
    <col min="2" max="2" width="12.6640625" customWidth="1"/>
    <col min="3" max="3" width="13.1640625" customWidth="1"/>
    <col min="4" max="4" width="8.1640625" customWidth="1"/>
    <col min="5" max="5" width="8.33203125" customWidth="1"/>
    <col min="6" max="6" width="12.33203125" customWidth="1"/>
    <col min="7" max="7" width="12.83203125" customWidth="1"/>
    <col min="8" max="8" width="8.1640625" customWidth="1"/>
    <col min="9" max="9" width="8.33203125" customWidth="1"/>
    <col min="11" max="11" width="11.1640625" customWidth="1"/>
    <col min="12" max="12" width="9.6640625" customWidth="1"/>
    <col min="13" max="13" width="10" customWidth="1"/>
  </cols>
  <sheetData>
    <row r="1" spans="1:13" ht="24" customHeight="1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">
      <c r="A2" s="10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34</v>
      </c>
    </row>
    <row r="3" spans="1:13" ht="15" customHeight="1" x14ac:dyDescent="0.2">
      <c r="A3" s="9" t="s">
        <v>9</v>
      </c>
      <c r="B3" s="13">
        <f>INDEX('actual summary'!$C$5:$C$16,MATCH($A3,'actual summary'!$A$5:$A$16,0))</f>
        <v>94.52</v>
      </c>
      <c r="C3" s="14">
        <f>INDEX('budget summary'!$B$5:$B$16,MATCH($A3,'budget summary'!$A$5:$A$16,0))</f>
        <v>95</v>
      </c>
      <c r="D3" s="13">
        <f t="shared" ref="D3:D14" si="0">B3-C3</f>
        <v>-0.48000000000000398</v>
      </c>
      <c r="E3" s="14">
        <f t="shared" ref="E3:E14" si="1">IF(C3=0,"",D3/C3)</f>
        <v>-5.0526315789474101E-3</v>
      </c>
      <c r="F3" s="13">
        <f>INDEX('actual summary'!$B$5:$B$16,MATCH($A3,'actual summary'!$A$5:$A$16,0))</f>
        <v>47.62</v>
      </c>
      <c r="G3">
        <f>INDEX('budget summary'!$C$5:$C$16,MATCH($A3,'budget summary'!$A$5:$A$16,0))</f>
        <v>48.2</v>
      </c>
      <c r="H3" s="15">
        <f t="shared" ref="H3:H14" si="2">F3-G3</f>
        <v>-0.5800000000000054</v>
      </c>
      <c r="I3">
        <f t="shared" ref="I3:I14" si="3">IF(G3=0,"",H3/G3)</f>
        <v>-1.2033195020747E-2</v>
      </c>
      <c r="J3" s="15">
        <f>INDEX('actual summary'!$E$5:$E$16,MATCH($A3,'actual summary'!$A$5:$A$16,0))</f>
        <v>46.9</v>
      </c>
      <c r="K3">
        <f>INDEX('budget summary'!$D$5:$D$16,MATCH($A3,'budget summary'!$A$5:$A$16,0))</f>
        <v>46.8</v>
      </c>
      <c r="L3" s="15">
        <f t="shared" ref="L3:L14" si="4">J3-K3</f>
        <v>0.10000000000000142</v>
      </c>
      <c r="M3">
        <f t="shared" ref="M3:M14" si="5">IF(K3=0,"",L3/K3)</f>
        <v>2.1367521367521673E-3</v>
      </c>
    </row>
    <row r="4" spans="1:13" ht="15" customHeight="1" x14ac:dyDescent="0.2">
      <c r="A4" s="9" t="s">
        <v>10</v>
      </c>
      <c r="B4" s="13">
        <f>INDEX('actual summary'!$C$5:$C$16,MATCH($A4,'actual summary'!$A$5:$A$16,0))</f>
        <v>104.33</v>
      </c>
      <c r="C4" s="14">
        <f>INDEX('budget summary'!$B$5:$B$16,MATCH($A4,'budget summary'!$A$5:$A$16,0))</f>
        <v>105</v>
      </c>
      <c r="D4" s="13">
        <f t="shared" si="0"/>
        <v>-0.67000000000000171</v>
      </c>
      <c r="E4" s="14">
        <f t="shared" si="1"/>
        <v>-6.3809523809523969E-3</v>
      </c>
      <c r="F4" s="13">
        <f>INDEX('actual summary'!$B$5:$B$16,MATCH($A4,'actual summary'!$A$5:$A$16,0))</f>
        <v>51.6</v>
      </c>
      <c r="G4">
        <f>INDEX('budget summary'!$C$5:$C$16,MATCH($A4,'budget summary'!$A$5:$A$16,0))</f>
        <v>51</v>
      </c>
      <c r="H4" s="15">
        <f t="shared" si="2"/>
        <v>0.60000000000000142</v>
      </c>
      <c r="I4">
        <f t="shared" si="3"/>
        <v>1.1764705882352969E-2</v>
      </c>
      <c r="J4" s="15">
        <f>INDEX('actual summary'!$E$5:$E$16,MATCH($A4,'actual summary'!$A$5:$A$16,0))</f>
        <v>52.73</v>
      </c>
      <c r="K4">
        <f>INDEX('budget summary'!$D$5:$D$16,MATCH($A4,'budget summary'!$A$5:$A$16,0))</f>
        <v>54</v>
      </c>
      <c r="L4" s="15">
        <f t="shared" si="4"/>
        <v>-1.2700000000000031</v>
      </c>
      <c r="M4">
        <f t="shared" si="5"/>
        <v>-2.3518518518518577E-2</v>
      </c>
    </row>
    <row r="5" spans="1:13" ht="15" customHeight="1" x14ac:dyDescent="0.2">
      <c r="A5" s="9" t="s">
        <v>11</v>
      </c>
      <c r="B5" s="13">
        <f>INDEX('actual summary'!$C$5:$C$16,MATCH($A5,'actual summary'!$A$5:$A$16,0))</f>
        <v>109.71</v>
      </c>
      <c r="C5" s="14">
        <f>INDEX('budget summary'!$B$5:$B$16,MATCH($A5,'budget summary'!$A$5:$A$16,0))</f>
        <v>110</v>
      </c>
      <c r="D5" s="13">
        <f t="shared" si="0"/>
        <v>-0.29000000000000625</v>
      </c>
      <c r="E5" s="14">
        <f t="shared" si="1"/>
        <v>-2.6363636363636932E-3</v>
      </c>
      <c r="F5" s="13">
        <f>INDEX('actual summary'!$B$5:$B$16,MATCH($A5,'actual summary'!$A$5:$A$16,0))</f>
        <v>52.35</v>
      </c>
      <c r="G5">
        <f>INDEX('budget summary'!$C$5:$C$16,MATCH($A5,'budget summary'!$A$5:$A$16,0))</f>
        <v>52.4</v>
      </c>
      <c r="H5" s="15">
        <f t="shared" si="2"/>
        <v>-4.9999999999997158E-2</v>
      </c>
      <c r="I5">
        <f t="shared" si="3"/>
        <v>-9.541984732823885E-4</v>
      </c>
      <c r="J5" s="15">
        <f>INDEX('actual summary'!$E$5:$E$16,MATCH($A5,'actual summary'!$A$5:$A$16,0))</f>
        <v>57.359999999999992</v>
      </c>
      <c r="K5">
        <f>INDEX('budget summary'!$D$5:$D$16,MATCH($A5,'budget summary'!$A$5:$A$16,0))</f>
        <v>57.6</v>
      </c>
      <c r="L5" s="15">
        <f t="shared" si="4"/>
        <v>-0.24000000000000909</v>
      </c>
      <c r="M5">
        <f t="shared" si="5"/>
        <v>-4.1666666666668245E-3</v>
      </c>
    </row>
    <row r="6" spans="1:13" ht="15" customHeight="1" x14ac:dyDescent="0.2">
      <c r="A6" s="9" t="s">
        <v>12</v>
      </c>
      <c r="B6" s="13">
        <f>INDEX('actual summary'!$C$5:$C$16,MATCH($A6,'actual summary'!$A$5:$A$16,0))</f>
        <v>97.25</v>
      </c>
      <c r="C6" s="14">
        <f>INDEX('budget summary'!$B$5:$B$16,MATCH($A6,'budget summary'!$A$5:$A$16,0))</f>
        <v>98</v>
      </c>
      <c r="D6" s="13">
        <f t="shared" si="0"/>
        <v>-0.75</v>
      </c>
      <c r="E6" s="14">
        <f t="shared" si="1"/>
        <v>-7.6530612244897957E-3</v>
      </c>
      <c r="F6" s="13">
        <f>INDEX('actual summary'!$B$5:$B$16,MATCH($A6,'actual summary'!$A$5:$A$16,0))</f>
        <v>47.76</v>
      </c>
      <c r="G6">
        <f>INDEX('budget summary'!$C$5:$C$16,MATCH($A6,'budget summary'!$A$5:$A$16,0))</f>
        <v>47.08</v>
      </c>
      <c r="H6" s="15">
        <f t="shared" si="2"/>
        <v>0.67999999999999972</v>
      </c>
      <c r="I6">
        <f t="shared" si="3"/>
        <v>1.444350042480883E-2</v>
      </c>
      <c r="J6" s="15">
        <f>INDEX('actual summary'!$E$5:$E$16,MATCH($A6,'actual summary'!$A$5:$A$16,0))</f>
        <v>49.49</v>
      </c>
      <c r="K6">
        <f>INDEX('budget summary'!$D$5:$D$16,MATCH($A6,'budget summary'!$A$5:$A$16,0))</f>
        <v>50.92</v>
      </c>
      <c r="L6" s="15">
        <f t="shared" si="4"/>
        <v>-1.4299999999999997</v>
      </c>
      <c r="M6">
        <f t="shared" si="5"/>
        <v>-2.8083267871170457E-2</v>
      </c>
    </row>
    <row r="7" spans="1:13" ht="15" customHeight="1" x14ac:dyDescent="0.2">
      <c r="A7" s="9" t="s">
        <v>13</v>
      </c>
      <c r="B7" s="13">
        <f>INDEX('actual summary'!$C$5:$C$16,MATCH($A7,'actual summary'!$A$5:$A$16,0))</f>
        <v>100.57</v>
      </c>
      <c r="C7" s="14">
        <f>INDEX('budget summary'!$B$5:$B$16,MATCH($A7,'budget summary'!$A$5:$A$16,0))</f>
        <v>102</v>
      </c>
      <c r="D7" s="13">
        <f t="shared" si="0"/>
        <v>-1.4300000000000068</v>
      </c>
      <c r="E7" s="14">
        <f t="shared" si="1"/>
        <v>-1.4019607843137322E-2</v>
      </c>
      <c r="F7" s="13">
        <f>INDEX('actual summary'!$B$5:$B$16,MATCH($A7,'actual summary'!$A$5:$A$16,0))</f>
        <v>48.34</v>
      </c>
      <c r="G7">
        <f>INDEX('budget summary'!$C$5:$C$16,MATCH($A7,'budget summary'!$A$5:$A$16,0))</f>
        <v>48.12</v>
      </c>
      <c r="H7" s="15">
        <f t="shared" si="2"/>
        <v>0.22000000000000597</v>
      </c>
      <c r="I7">
        <f t="shared" si="3"/>
        <v>4.571903574397464E-3</v>
      </c>
      <c r="J7" s="15">
        <f>INDEX('actual summary'!$E$5:$E$16,MATCH($A7,'actual summary'!$A$5:$A$16,0))</f>
        <v>52.22999999999999</v>
      </c>
      <c r="K7">
        <f>INDEX('budget summary'!$D$5:$D$16,MATCH($A7,'budget summary'!$A$5:$A$16,0))</f>
        <v>53.88</v>
      </c>
      <c r="L7" s="15">
        <f t="shared" si="4"/>
        <v>-1.6500000000000128</v>
      </c>
      <c r="M7">
        <f t="shared" si="5"/>
        <v>-3.0623608017817609E-2</v>
      </c>
    </row>
    <row r="8" spans="1:13" ht="15" customHeight="1" x14ac:dyDescent="0.2">
      <c r="A8" s="9" t="s">
        <v>14</v>
      </c>
      <c r="B8" s="13">
        <f>INDEX('actual summary'!$C$5:$C$16,MATCH($A8,'actual summary'!$A$5:$A$16,0))</f>
        <v>109.46</v>
      </c>
      <c r="C8" s="14">
        <f>INDEX('budget summary'!$B$5:$B$16,MATCH($A8,'budget summary'!$A$5:$A$16,0))</f>
        <v>108</v>
      </c>
      <c r="D8" s="13">
        <f t="shared" si="0"/>
        <v>1.4599999999999937</v>
      </c>
      <c r="E8" s="14">
        <f t="shared" si="1"/>
        <v>1.3518518518518461E-2</v>
      </c>
      <c r="F8" s="13">
        <f>INDEX('actual summary'!$B$5:$B$16,MATCH($A8,'actual summary'!$A$5:$A$16,0))</f>
        <v>50.09</v>
      </c>
      <c r="G8">
        <f>INDEX('budget summary'!$C$5:$C$16,MATCH($A8,'budget summary'!$A$5:$A$16,0))</f>
        <v>49.68</v>
      </c>
      <c r="H8" s="15">
        <f t="shared" si="2"/>
        <v>0.41000000000000369</v>
      </c>
      <c r="I8">
        <f t="shared" si="3"/>
        <v>8.2528180354268059E-3</v>
      </c>
      <c r="J8" s="15">
        <f>INDEX('actual summary'!$E$5:$E$16,MATCH($A8,'actual summary'!$A$5:$A$16,0))</f>
        <v>59.36999999999999</v>
      </c>
      <c r="K8">
        <f>INDEX('budget summary'!$D$5:$D$16,MATCH($A8,'budget summary'!$A$5:$A$16,0))</f>
        <v>58.32</v>
      </c>
      <c r="L8" s="15">
        <f t="shared" si="4"/>
        <v>1.0499999999999901</v>
      </c>
      <c r="M8">
        <f t="shared" si="5"/>
        <v>1.8004115226337276E-2</v>
      </c>
    </row>
    <row r="9" spans="1:13" ht="15" customHeight="1" x14ac:dyDescent="0.2">
      <c r="A9" s="9" t="s">
        <v>15</v>
      </c>
      <c r="B9" s="13">
        <f>INDEX('actual summary'!$C$5:$C$16,MATCH($A9,'actual summary'!$A$5:$A$16,0))</f>
        <v>126.41</v>
      </c>
      <c r="C9" s="14">
        <f>INDEX('budget summary'!$B$5:$B$16,MATCH($A9,'budget summary'!$A$5:$A$16,0))</f>
        <v>125</v>
      </c>
      <c r="D9" s="13">
        <f t="shared" si="0"/>
        <v>1.4099999999999966</v>
      </c>
      <c r="E9" s="14">
        <f t="shared" si="1"/>
        <v>1.1279999999999972E-2</v>
      </c>
      <c r="F9" s="13">
        <f>INDEX('actual summary'!$B$5:$B$16,MATCH($A9,'actual summary'!$A$5:$A$16,0))</f>
        <v>62.39</v>
      </c>
      <c r="G9">
        <f>INDEX('budget summary'!$C$5:$C$16,MATCH($A9,'budget summary'!$A$5:$A$16,0))</f>
        <v>62.85</v>
      </c>
      <c r="H9" s="15">
        <f t="shared" si="2"/>
        <v>-0.46000000000000085</v>
      </c>
      <c r="I9">
        <f t="shared" si="3"/>
        <v>-7.3190135242641339E-3</v>
      </c>
      <c r="J9" s="15">
        <f>INDEX('actual summary'!$E$5:$E$16,MATCH($A9,'actual summary'!$A$5:$A$16,0))</f>
        <v>64.02</v>
      </c>
      <c r="K9">
        <f>INDEX('budget summary'!$D$5:$D$16,MATCH($A9,'budget summary'!$A$5:$A$16,0))</f>
        <v>62.15</v>
      </c>
      <c r="L9" s="15">
        <f t="shared" si="4"/>
        <v>1.8699999999999974</v>
      </c>
      <c r="M9">
        <f t="shared" si="5"/>
        <v>3.0088495575221197E-2</v>
      </c>
    </row>
    <row r="10" spans="1:13" ht="15" customHeight="1" x14ac:dyDescent="0.2">
      <c r="A10" s="9" t="s">
        <v>16</v>
      </c>
      <c r="B10" s="13">
        <f>INDEX('actual summary'!$C$5:$C$16,MATCH($A10,'actual summary'!$A$5:$A$16,0))</f>
        <v>136.38999999999999</v>
      </c>
      <c r="C10" s="14">
        <f>INDEX('budget summary'!$B$5:$B$16,MATCH($A10,'budget summary'!$A$5:$A$16,0))</f>
        <v>135</v>
      </c>
      <c r="D10" s="13">
        <f t="shared" si="0"/>
        <v>1.3899999999999864</v>
      </c>
      <c r="E10" s="14">
        <f t="shared" si="1"/>
        <v>1.0296296296296196E-2</v>
      </c>
      <c r="F10" s="13">
        <f>INDEX('actual summary'!$B$5:$B$16,MATCH($A10,'actual summary'!$A$5:$A$16,0))</f>
        <v>66.290000000000006</v>
      </c>
      <c r="G10">
        <f>INDEX('budget summary'!$C$5:$C$16,MATCH($A10,'budget summary'!$A$5:$A$16,0))</f>
        <v>66.150000000000006</v>
      </c>
      <c r="H10" s="15">
        <f t="shared" si="2"/>
        <v>0.14000000000000057</v>
      </c>
      <c r="I10">
        <f t="shared" si="3"/>
        <v>2.1164021164021248E-3</v>
      </c>
      <c r="J10" s="15">
        <f>INDEX('actual summary'!$E$5:$E$16,MATCH($A10,'actual summary'!$A$5:$A$16,0))</f>
        <v>70.09999999999998</v>
      </c>
      <c r="K10">
        <f>INDEX('budget summary'!$D$5:$D$16,MATCH($A10,'budget summary'!$A$5:$A$16,0))</f>
        <v>68.849999999999994</v>
      </c>
      <c r="L10" s="15">
        <f t="shared" si="4"/>
        <v>1.2499999999999858</v>
      </c>
      <c r="M10">
        <f t="shared" si="5"/>
        <v>1.8155410312272854E-2</v>
      </c>
    </row>
    <row r="11" spans="1:13" ht="15" customHeight="1" x14ac:dyDescent="0.2">
      <c r="A11" s="9" t="s">
        <v>17</v>
      </c>
      <c r="B11" s="13">
        <f>INDEX('actual summary'!$C$5:$C$16,MATCH($A11,'actual summary'!$A$5:$A$16,0))</f>
        <v>117.01</v>
      </c>
      <c r="C11" s="14">
        <f>INDEX('budget summary'!$B$5:$B$16,MATCH($A11,'budget summary'!$A$5:$A$16,0))</f>
        <v>115</v>
      </c>
      <c r="D11" s="13">
        <f t="shared" si="0"/>
        <v>2.0100000000000051</v>
      </c>
      <c r="E11" s="14">
        <f t="shared" si="1"/>
        <v>1.7478260869565262E-2</v>
      </c>
      <c r="F11" s="13">
        <f>INDEX('actual summary'!$B$5:$B$16,MATCH($A11,'actual summary'!$A$5:$A$16,0))</f>
        <v>51.15</v>
      </c>
      <c r="G11">
        <f>INDEX('budget summary'!$C$5:$C$16,MATCH($A11,'budget summary'!$A$5:$A$16,0))</f>
        <v>51.5</v>
      </c>
      <c r="H11" s="15">
        <f t="shared" si="2"/>
        <v>-0.35000000000000142</v>
      </c>
      <c r="I11">
        <f t="shared" si="3"/>
        <v>-6.7961165048543966E-3</v>
      </c>
      <c r="J11" s="15">
        <f>INDEX('actual summary'!$E$5:$E$16,MATCH($A11,'actual summary'!$A$5:$A$16,0))</f>
        <v>65.860000000000014</v>
      </c>
      <c r="K11">
        <f>INDEX('budget summary'!$D$5:$D$16,MATCH($A11,'budget summary'!$A$5:$A$16,0))</f>
        <v>63.5</v>
      </c>
      <c r="L11" s="15">
        <f t="shared" si="4"/>
        <v>2.3600000000000136</v>
      </c>
      <c r="M11">
        <f t="shared" si="5"/>
        <v>3.7165354330708875E-2</v>
      </c>
    </row>
    <row r="12" spans="1:13" ht="15" customHeight="1" x14ac:dyDescent="0.2">
      <c r="A12" s="9" t="s">
        <v>18</v>
      </c>
      <c r="B12" s="13">
        <f>INDEX('actual summary'!$C$5:$C$16,MATCH($A12,'actual summary'!$A$5:$A$16,0))</f>
        <v>89.48</v>
      </c>
      <c r="C12" s="14">
        <f>INDEX('budget summary'!$B$5:$B$16,MATCH($A12,'budget summary'!$A$5:$A$16,0))</f>
        <v>90</v>
      </c>
      <c r="D12" s="13">
        <f t="shared" si="0"/>
        <v>-0.51999999999999602</v>
      </c>
      <c r="E12" s="14">
        <f t="shared" si="1"/>
        <v>-5.7777777777777333E-3</v>
      </c>
      <c r="F12" s="13">
        <f>INDEX('actual summary'!$B$5:$B$16,MATCH($A12,'actual summary'!$A$5:$A$16,0))</f>
        <v>45.17</v>
      </c>
      <c r="G12">
        <f>INDEX('budget summary'!$C$5:$C$16,MATCH($A12,'budget summary'!$A$5:$A$16,0))</f>
        <v>45</v>
      </c>
      <c r="H12" s="15">
        <f t="shared" si="2"/>
        <v>0.17000000000000171</v>
      </c>
      <c r="I12">
        <f t="shared" si="3"/>
        <v>3.7777777777778156E-3</v>
      </c>
      <c r="J12" s="15">
        <f>INDEX('actual summary'!$E$5:$E$16,MATCH($A12,'actual summary'!$A$5:$A$16,0))</f>
        <v>44.31</v>
      </c>
      <c r="K12">
        <f>INDEX('budget summary'!$D$5:$D$16,MATCH($A12,'budget summary'!$A$5:$A$16,0))</f>
        <v>45</v>
      </c>
      <c r="L12" s="15">
        <f t="shared" si="4"/>
        <v>-0.68999999999999773</v>
      </c>
      <c r="M12">
        <f t="shared" si="5"/>
        <v>-1.5333333333333282E-2</v>
      </c>
    </row>
    <row r="13" spans="1:13" ht="15" customHeight="1" x14ac:dyDescent="0.2">
      <c r="A13" s="9" t="s">
        <v>19</v>
      </c>
      <c r="B13" s="13">
        <f>INDEX('actual summary'!$C$5:$C$16,MATCH($A13,'actual summary'!$A$5:$A$16,0))</f>
        <v>91.69</v>
      </c>
      <c r="C13" s="14">
        <f>INDEX('budget summary'!$B$5:$B$16,MATCH($A13,'budget summary'!$A$5:$A$16,0))</f>
        <v>92</v>
      </c>
      <c r="D13" s="13">
        <f t="shared" si="0"/>
        <v>-0.31000000000000227</v>
      </c>
      <c r="E13" s="14">
        <f t="shared" si="1"/>
        <v>-3.369565217391329E-3</v>
      </c>
      <c r="F13" s="13">
        <f>INDEX('actual summary'!$B$5:$B$16,MATCH($A13,'actual summary'!$A$5:$A$16,0))</f>
        <v>44.95</v>
      </c>
      <c r="G13">
        <f>INDEX('budget summary'!$C$5:$C$16,MATCH($A13,'budget summary'!$A$5:$A$16,0))</f>
        <v>45.52</v>
      </c>
      <c r="H13" s="15">
        <f t="shared" si="2"/>
        <v>-0.57000000000000028</v>
      </c>
      <c r="I13">
        <f t="shared" si="3"/>
        <v>-1.2521968365553608E-2</v>
      </c>
      <c r="J13" s="15">
        <f>INDEX('actual summary'!$E$5:$E$16,MATCH($A13,'actual summary'!$A$5:$A$16,0))</f>
        <v>46.739999999999995</v>
      </c>
      <c r="K13">
        <f>INDEX('budget summary'!$D$5:$D$16,MATCH($A13,'budget summary'!$A$5:$A$16,0))</f>
        <v>46.48</v>
      </c>
      <c r="L13" s="15">
        <f t="shared" si="4"/>
        <v>0.25999999999999801</v>
      </c>
      <c r="M13">
        <f t="shared" si="5"/>
        <v>5.5938037865748283E-3</v>
      </c>
    </row>
    <row r="14" spans="1:13" ht="15" customHeight="1" x14ac:dyDescent="0.2">
      <c r="A14" s="9" t="s">
        <v>20</v>
      </c>
      <c r="B14" s="13">
        <f>INDEX('actual summary'!$C$5:$C$16,MATCH($A14,'actual summary'!$A$5:$A$16,0))</f>
        <v>101.49</v>
      </c>
      <c r="C14" s="14">
        <f>INDEX('budget summary'!$B$5:$B$16,MATCH($A14,'budget summary'!$A$5:$A$16,0))</f>
        <v>100</v>
      </c>
      <c r="D14" s="13">
        <f t="shared" si="0"/>
        <v>1.4899999999999949</v>
      </c>
      <c r="E14" s="14">
        <f t="shared" si="1"/>
        <v>1.4899999999999948E-2</v>
      </c>
      <c r="F14" s="13">
        <f>INDEX('actual summary'!$B$5:$B$16,MATCH($A14,'actual summary'!$A$5:$A$16,0))</f>
        <v>46.78</v>
      </c>
      <c r="G14">
        <f>INDEX('budget summary'!$C$5:$C$16,MATCH($A14,'budget summary'!$A$5:$A$16,0))</f>
        <v>47.6</v>
      </c>
      <c r="H14" s="15">
        <f t="shared" si="2"/>
        <v>-0.82000000000000028</v>
      </c>
      <c r="I14">
        <f t="shared" si="3"/>
        <v>-1.7226890756302526E-2</v>
      </c>
      <c r="J14" s="15">
        <f>INDEX('actual summary'!$E$5:$E$16,MATCH($A14,'actual summary'!$A$5:$A$16,0))</f>
        <v>54.709999999999994</v>
      </c>
      <c r="K14">
        <f>INDEX('budget summary'!$D$5:$D$16,MATCH($A14,'budget summary'!$A$5:$A$16,0))</f>
        <v>52.4</v>
      </c>
      <c r="L14" s="15">
        <f t="shared" si="4"/>
        <v>2.3099999999999952</v>
      </c>
      <c r="M14">
        <f t="shared" si="5"/>
        <v>4.4083969465648763E-2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selection activeCell="B5" sqref="B5"/>
    </sheetView>
  </sheetViews>
  <sheetFormatPr baseColWidth="10" defaultColWidth="10.6640625" defaultRowHeight="15" x14ac:dyDescent="0.2"/>
  <cols>
    <col min="1" max="1" width="12.1640625" customWidth="1"/>
    <col min="2" max="2" width="17.5" customWidth="1"/>
  </cols>
  <sheetData>
    <row r="1" spans="1:2" ht="15" customHeight="1" x14ac:dyDescent="0.2">
      <c r="A1" s="46" t="s">
        <v>35</v>
      </c>
      <c r="B1" t="s">
        <v>80</v>
      </c>
    </row>
    <row r="3" spans="1:2" ht="15" customHeight="1" x14ac:dyDescent="0.2">
      <c r="A3" s="46" t="s">
        <v>78</v>
      </c>
      <c r="B3" t="s">
        <v>37</v>
      </c>
    </row>
    <row r="4" spans="1:2" ht="15" customHeight="1" x14ac:dyDescent="0.2">
      <c r="A4" s="9" t="s">
        <v>38</v>
      </c>
      <c r="B4" s="47">
        <v>56.400000000000013</v>
      </c>
    </row>
    <row r="5" spans="1:2" ht="15" customHeight="1" x14ac:dyDescent="0.2">
      <c r="A5" s="9" t="s">
        <v>39</v>
      </c>
      <c r="B5" s="47">
        <v>37.199999999999996</v>
      </c>
    </row>
    <row r="6" spans="1:2" ht="15" customHeight="1" x14ac:dyDescent="0.2">
      <c r="A6" s="9" t="s">
        <v>40</v>
      </c>
      <c r="B6" s="47">
        <v>182.6</v>
      </c>
    </row>
    <row r="7" spans="1:2" ht="15" customHeight="1" x14ac:dyDescent="0.2">
      <c r="A7" s="9" t="s">
        <v>41</v>
      </c>
      <c r="B7" s="47">
        <v>159.42999999999992</v>
      </c>
    </row>
    <row r="8" spans="1:2" ht="15" customHeight="1" x14ac:dyDescent="0.2">
      <c r="A8" s="9" t="s">
        <v>42</v>
      </c>
      <c r="B8" s="47">
        <v>1457.1699999999998</v>
      </c>
    </row>
    <row r="9" spans="1:2" ht="15" customHeight="1" x14ac:dyDescent="0.2">
      <c r="A9" s="9" t="s">
        <v>79</v>
      </c>
      <c r="B9" s="47">
        <v>1892.7999999999997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7"/>
  <sheetViews>
    <sheetView zoomScale="139" zoomScaleNormal="139" workbookViewId="0">
      <selection activeCell="F7" sqref="F7"/>
    </sheetView>
  </sheetViews>
  <sheetFormatPr baseColWidth="10" defaultColWidth="10.6640625" defaultRowHeight="15" x14ac:dyDescent="0.2"/>
  <cols>
    <col min="1" max="1" width="17.5" customWidth="1"/>
    <col min="2" max="2" width="14.83203125" customWidth="1"/>
    <col min="3" max="3" width="8" customWidth="1"/>
    <col min="4" max="4" width="10" customWidth="1"/>
  </cols>
  <sheetData>
    <row r="3" spans="1:5" ht="15" customHeight="1" x14ac:dyDescent="0.2">
      <c r="A3" s="20" t="s">
        <v>37</v>
      </c>
      <c r="B3" s="21" t="s">
        <v>35</v>
      </c>
      <c r="C3" s="22"/>
      <c r="D3" s="23"/>
      <c r="E3" s="50" t="s">
        <v>8</v>
      </c>
    </row>
    <row r="4" spans="1:5" ht="15" customHeight="1" x14ac:dyDescent="0.2">
      <c r="A4" s="24" t="s">
        <v>22</v>
      </c>
      <c r="B4" s="25" t="s">
        <v>44</v>
      </c>
      <c r="C4" s="26" t="s">
        <v>45</v>
      </c>
      <c r="D4" s="27" t="s">
        <v>43</v>
      </c>
      <c r="E4" s="50"/>
    </row>
    <row r="5" spans="1:5" ht="15" customHeight="1" x14ac:dyDescent="0.2">
      <c r="A5" s="16" t="s">
        <v>9</v>
      </c>
      <c r="B5" s="28">
        <v>47.62</v>
      </c>
      <c r="C5" s="29">
        <v>94.52</v>
      </c>
      <c r="D5" s="30">
        <v>142.13999999999999</v>
      </c>
      <c r="E5" s="15">
        <f t="shared" ref="E5:E16" si="0">C5-B5</f>
        <v>46.9</v>
      </c>
    </row>
    <row r="6" spans="1:5" ht="15" customHeight="1" x14ac:dyDescent="0.2">
      <c r="A6" s="17" t="s">
        <v>13</v>
      </c>
      <c r="B6" s="31">
        <v>48.34</v>
      </c>
      <c r="C6" s="32">
        <v>100.57</v>
      </c>
      <c r="D6" s="33">
        <v>148.91</v>
      </c>
      <c r="E6" s="15">
        <f t="shared" si="0"/>
        <v>52.22999999999999</v>
      </c>
    </row>
    <row r="7" spans="1:5" ht="15" customHeight="1" x14ac:dyDescent="0.2">
      <c r="A7" s="17" t="s">
        <v>17</v>
      </c>
      <c r="B7" s="31">
        <v>51.15</v>
      </c>
      <c r="C7" s="32">
        <v>117.01</v>
      </c>
      <c r="D7" s="33">
        <v>168.16</v>
      </c>
      <c r="E7" s="15">
        <f t="shared" si="0"/>
        <v>65.860000000000014</v>
      </c>
    </row>
    <row r="8" spans="1:5" ht="15" customHeight="1" x14ac:dyDescent="0.2">
      <c r="A8" s="17" t="s">
        <v>19</v>
      </c>
      <c r="B8" s="31">
        <v>44.95</v>
      </c>
      <c r="C8" s="32">
        <v>91.69</v>
      </c>
      <c r="D8" s="33">
        <v>136.63999999999999</v>
      </c>
      <c r="E8" s="15">
        <f t="shared" si="0"/>
        <v>46.739999999999995</v>
      </c>
    </row>
    <row r="9" spans="1:5" ht="15" customHeight="1" x14ac:dyDescent="0.2">
      <c r="A9" s="17" t="s">
        <v>18</v>
      </c>
      <c r="B9" s="31">
        <v>45.17</v>
      </c>
      <c r="C9" s="32">
        <v>89.48</v>
      </c>
      <c r="D9" s="33">
        <v>134.65</v>
      </c>
      <c r="E9" s="15">
        <f t="shared" si="0"/>
        <v>44.31</v>
      </c>
    </row>
    <row r="10" spans="1:5" ht="15" customHeight="1" x14ac:dyDescent="0.2">
      <c r="A10" s="17" t="s">
        <v>12</v>
      </c>
      <c r="B10" s="31">
        <v>47.76</v>
      </c>
      <c r="C10" s="32">
        <v>97.25</v>
      </c>
      <c r="D10" s="33">
        <v>145.01</v>
      </c>
      <c r="E10" s="15">
        <f t="shared" si="0"/>
        <v>49.49</v>
      </c>
    </row>
    <row r="11" spans="1:5" ht="15" customHeight="1" x14ac:dyDescent="0.2">
      <c r="A11" s="17" t="s">
        <v>11</v>
      </c>
      <c r="B11" s="31">
        <v>52.35</v>
      </c>
      <c r="C11" s="32">
        <v>109.71</v>
      </c>
      <c r="D11" s="33">
        <v>162.06</v>
      </c>
      <c r="E11" s="15">
        <f t="shared" si="0"/>
        <v>57.359999999999992</v>
      </c>
    </row>
    <row r="12" spans="1:5" ht="15" customHeight="1" x14ac:dyDescent="0.2">
      <c r="A12" s="17" t="s">
        <v>20</v>
      </c>
      <c r="B12" s="31">
        <v>46.78</v>
      </c>
      <c r="C12" s="32">
        <v>101.49</v>
      </c>
      <c r="D12" s="33">
        <v>148.27000000000001</v>
      </c>
      <c r="E12" s="15">
        <f t="shared" si="0"/>
        <v>54.709999999999994</v>
      </c>
    </row>
    <row r="13" spans="1:5" ht="15" customHeight="1" x14ac:dyDescent="0.2">
      <c r="A13" s="17" t="s">
        <v>10</v>
      </c>
      <c r="B13" s="31">
        <v>51.6</v>
      </c>
      <c r="C13" s="32">
        <v>104.33</v>
      </c>
      <c r="D13" s="33">
        <v>155.93</v>
      </c>
      <c r="E13" s="15">
        <f t="shared" si="0"/>
        <v>52.73</v>
      </c>
    </row>
    <row r="14" spans="1:5" ht="15" customHeight="1" x14ac:dyDescent="0.2">
      <c r="A14" s="17" t="s">
        <v>16</v>
      </c>
      <c r="B14" s="31">
        <v>66.290000000000006</v>
      </c>
      <c r="C14" s="32">
        <v>136.38999999999999</v>
      </c>
      <c r="D14" s="33">
        <v>202.68</v>
      </c>
      <c r="E14" s="15">
        <f t="shared" si="0"/>
        <v>70.09999999999998</v>
      </c>
    </row>
    <row r="15" spans="1:5" ht="15" customHeight="1" x14ac:dyDescent="0.2">
      <c r="A15" s="17" t="s">
        <v>15</v>
      </c>
      <c r="B15" s="31">
        <v>62.39</v>
      </c>
      <c r="C15" s="32">
        <v>126.41</v>
      </c>
      <c r="D15" s="33">
        <v>188.8</v>
      </c>
      <c r="E15" s="15">
        <f t="shared" si="0"/>
        <v>64.02</v>
      </c>
    </row>
    <row r="16" spans="1:5" ht="15" customHeight="1" x14ac:dyDescent="0.2">
      <c r="A16" s="17" t="s">
        <v>14</v>
      </c>
      <c r="B16" s="34">
        <v>50.09</v>
      </c>
      <c r="C16" s="35">
        <v>109.46</v>
      </c>
      <c r="D16" s="36">
        <v>159.55000000000001</v>
      </c>
      <c r="E16" s="15">
        <f t="shared" si="0"/>
        <v>59.36999999999999</v>
      </c>
    </row>
    <row r="17" spans="1:5" ht="15" customHeight="1" x14ac:dyDescent="0.2">
      <c r="A17" s="18" t="s">
        <v>43</v>
      </c>
      <c r="B17" s="37">
        <v>614.49</v>
      </c>
      <c r="C17" s="38">
        <v>1278.31</v>
      </c>
      <c r="D17" s="19">
        <v>1892.8</v>
      </c>
      <c r="E17" s="39">
        <f>SUM(E5:E16)</f>
        <v>663.82</v>
      </c>
    </row>
  </sheetData>
  <mergeCells count="1">
    <mergeCell ref="E3:E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17"/>
  <sheetViews>
    <sheetView zoomScaleNormal="100" workbookViewId="0">
      <selection activeCell="C8" sqref="C8"/>
    </sheetView>
  </sheetViews>
  <sheetFormatPr baseColWidth="10" defaultColWidth="10.6640625" defaultRowHeight="15" x14ac:dyDescent="0.2"/>
  <cols>
    <col min="1" max="1" width="12.1640625" customWidth="1"/>
    <col min="2" max="2" width="24.5" customWidth="1"/>
    <col min="3" max="3" width="24" customWidth="1"/>
    <col min="4" max="4" width="18" customWidth="1"/>
  </cols>
  <sheetData>
    <row r="3" spans="1:4" ht="15" customHeight="1" x14ac:dyDescent="0.2">
      <c r="A3" s="20"/>
      <c r="B3" s="21" t="s">
        <v>46</v>
      </c>
      <c r="C3" s="23"/>
      <c r="D3" s="49" t="s">
        <v>47</v>
      </c>
    </row>
    <row r="4" spans="1:4" ht="15" customHeight="1" x14ac:dyDescent="0.2">
      <c r="A4" s="24" t="s">
        <v>22</v>
      </c>
      <c r="B4" s="25" t="s">
        <v>48</v>
      </c>
      <c r="C4" s="40" t="s">
        <v>49</v>
      </c>
    </row>
    <row r="5" spans="1:4" ht="15" customHeight="1" x14ac:dyDescent="0.2">
      <c r="A5" s="16" t="s">
        <v>9</v>
      </c>
      <c r="B5" s="28">
        <v>95</v>
      </c>
      <c r="C5" s="41">
        <v>48.2</v>
      </c>
      <c r="D5">
        <f t="shared" ref="D5:D16" si="0">B5-C5</f>
        <v>46.8</v>
      </c>
    </row>
    <row r="6" spans="1:4" ht="15" customHeight="1" x14ac:dyDescent="0.2">
      <c r="A6" s="17" t="s">
        <v>13</v>
      </c>
      <c r="B6" s="31">
        <v>102</v>
      </c>
      <c r="C6" s="42">
        <v>48.12</v>
      </c>
      <c r="D6">
        <f t="shared" si="0"/>
        <v>53.88</v>
      </c>
    </row>
    <row r="7" spans="1:4" ht="15" customHeight="1" x14ac:dyDescent="0.2">
      <c r="A7" s="17" t="s">
        <v>17</v>
      </c>
      <c r="B7" s="31">
        <v>115</v>
      </c>
      <c r="C7" s="42">
        <v>51.5</v>
      </c>
      <c r="D7">
        <f t="shared" si="0"/>
        <v>63.5</v>
      </c>
    </row>
    <row r="8" spans="1:4" ht="15" customHeight="1" x14ac:dyDescent="0.2">
      <c r="A8" s="17" t="s">
        <v>19</v>
      </c>
      <c r="B8" s="31">
        <v>92</v>
      </c>
      <c r="C8" s="42">
        <v>45.52</v>
      </c>
      <c r="D8">
        <f t="shared" si="0"/>
        <v>46.48</v>
      </c>
    </row>
    <row r="9" spans="1:4" ht="15" customHeight="1" x14ac:dyDescent="0.2">
      <c r="A9" s="17" t="s">
        <v>18</v>
      </c>
      <c r="B9" s="31">
        <v>90</v>
      </c>
      <c r="C9" s="42">
        <v>45</v>
      </c>
      <c r="D9">
        <f t="shared" si="0"/>
        <v>45</v>
      </c>
    </row>
    <row r="10" spans="1:4" ht="15" customHeight="1" x14ac:dyDescent="0.2">
      <c r="A10" s="17" t="s">
        <v>12</v>
      </c>
      <c r="B10" s="31">
        <v>98</v>
      </c>
      <c r="C10" s="42">
        <v>47.08</v>
      </c>
      <c r="D10">
        <f t="shared" si="0"/>
        <v>50.92</v>
      </c>
    </row>
    <row r="11" spans="1:4" ht="15" customHeight="1" x14ac:dyDescent="0.2">
      <c r="A11" s="17" t="s">
        <v>11</v>
      </c>
      <c r="B11" s="31">
        <v>110</v>
      </c>
      <c r="C11" s="42">
        <v>52.4</v>
      </c>
      <c r="D11">
        <f t="shared" si="0"/>
        <v>57.6</v>
      </c>
    </row>
    <row r="12" spans="1:4" ht="15" customHeight="1" x14ac:dyDescent="0.2">
      <c r="A12" s="17" t="s">
        <v>20</v>
      </c>
      <c r="B12" s="31">
        <v>100</v>
      </c>
      <c r="C12" s="42">
        <v>47.6</v>
      </c>
      <c r="D12">
        <f t="shared" si="0"/>
        <v>52.4</v>
      </c>
    </row>
    <row r="13" spans="1:4" ht="15" customHeight="1" x14ac:dyDescent="0.2">
      <c r="A13" s="17" t="s">
        <v>10</v>
      </c>
      <c r="B13" s="31">
        <v>105</v>
      </c>
      <c r="C13" s="42">
        <v>51</v>
      </c>
      <c r="D13">
        <f t="shared" si="0"/>
        <v>54</v>
      </c>
    </row>
    <row r="14" spans="1:4" ht="15" customHeight="1" x14ac:dyDescent="0.2">
      <c r="A14" s="17" t="s">
        <v>16</v>
      </c>
      <c r="B14" s="31">
        <v>135</v>
      </c>
      <c r="C14" s="42">
        <v>66.150000000000006</v>
      </c>
      <c r="D14">
        <f t="shared" si="0"/>
        <v>68.849999999999994</v>
      </c>
    </row>
    <row r="15" spans="1:4" ht="15" customHeight="1" x14ac:dyDescent="0.2">
      <c r="A15" s="17" t="s">
        <v>15</v>
      </c>
      <c r="B15" s="31">
        <v>125</v>
      </c>
      <c r="C15" s="42">
        <v>62.85</v>
      </c>
      <c r="D15">
        <f t="shared" si="0"/>
        <v>62.15</v>
      </c>
    </row>
    <row r="16" spans="1:4" ht="15" customHeight="1" x14ac:dyDescent="0.2">
      <c r="A16" s="17" t="s">
        <v>14</v>
      </c>
      <c r="B16" s="34">
        <v>108</v>
      </c>
      <c r="C16" s="43">
        <v>49.68</v>
      </c>
      <c r="D16" s="12">
        <f t="shared" si="0"/>
        <v>58.32</v>
      </c>
    </row>
    <row r="17" spans="1:4" ht="15" customHeight="1" x14ac:dyDescent="0.2">
      <c r="A17" s="18" t="s">
        <v>43</v>
      </c>
      <c r="B17" s="37">
        <v>1275</v>
      </c>
      <c r="C17" s="44">
        <v>615.1</v>
      </c>
      <c r="D17">
        <f>SUM(D5:D16)</f>
        <v>659.9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5"/>
  <sheetViews>
    <sheetView zoomScaleNormal="100" workbookViewId="0">
      <selection activeCell="D32" sqref="D32"/>
    </sheetView>
  </sheetViews>
  <sheetFormatPr baseColWidth="10" defaultColWidth="8.83203125" defaultRowHeight="15" x14ac:dyDescent="0.2"/>
  <cols>
    <col min="1" max="1" width="10.1640625" bestFit="1" customWidth="1"/>
    <col min="2" max="2" width="11.5" bestFit="1" customWidth="1"/>
    <col min="3" max="3" width="15.6640625" bestFit="1" customWidth="1"/>
    <col min="4" max="4" width="9.83203125" bestFit="1" customWidth="1"/>
    <col min="5" max="5" width="13.6640625" customWidth="1"/>
    <col min="6" max="6" width="16.83203125" bestFit="1" customWidth="1"/>
    <col min="9" max="9" width="12.1640625" customWidth="1"/>
  </cols>
  <sheetData>
    <row r="1" spans="1:6" ht="15" customHeight="1" x14ac:dyDescent="0.2">
      <c r="A1" s="48" t="s">
        <v>50</v>
      </c>
      <c r="B1" s="48" t="s">
        <v>22</v>
      </c>
      <c r="C1" s="48" t="s">
        <v>36</v>
      </c>
      <c r="D1" s="48" t="s">
        <v>35</v>
      </c>
      <c r="E1" s="48" t="s">
        <v>51</v>
      </c>
      <c r="F1" s="48" t="s">
        <v>52</v>
      </c>
    </row>
    <row r="2" spans="1:6" ht="15" customHeight="1" x14ac:dyDescent="0.2">
      <c r="A2" t="s">
        <v>53</v>
      </c>
      <c r="B2" t="s">
        <v>9</v>
      </c>
      <c r="C2" t="s">
        <v>42</v>
      </c>
      <c r="D2" t="s">
        <v>45</v>
      </c>
      <c r="E2" t="s">
        <v>54</v>
      </c>
      <c r="F2">
        <v>43.14</v>
      </c>
    </row>
    <row r="3" spans="1:6" ht="15" customHeight="1" x14ac:dyDescent="0.2">
      <c r="A3" t="s">
        <v>53</v>
      </c>
      <c r="B3" t="s">
        <v>9</v>
      </c>
      <c r="C3" t="s">
        <v>42</v>
      </c>
      <c r="D3" t="s">
        <v>45</v>
      </c>
      <c r="E3" t="s">
        <v>55</v>
      </c>
      <c r="F3">
        <v>36.81</v>
      </c>
    </row>
    <row r="4" spans="1:6" ht="15" customHeight="1" x14ac:dyDescent="0.2">
      <c r="A4" t="s">
        <v>53</v>
      </c>
      <c r="B4" t="s">
        <v>9</v>
      </c>
      <c r="C4" t="s">
        <v>42</v>
      </c>
      <c r="D4" t="s">
        <v>45</v>
      </c>
      <c r="E4" t="s">
        <v>56</v>
      </c>
      <c r="F4">
        <v>14.57</v>
      </c>
    </row>
    <row r="5" spans="1:6" ht="15" customHeight="1" x14ac:dyDescent="0.2">
      <c r="A5" t="s">
        <v>53</v>
      </c>
      <c r="B5" t="s">
        <v>9</v>
      </c>
      <c r="C5" t="s">
        <v>40</v>
      </c>
      <c r="D5" t="s">
        <v>44</v>
      </c>
      <c r="E5" t="s">
        <v>57</v>
      </c>
      <c r="F5">
        <v>9.9499999999999993</v>
      </c>
    </row>
    <row r="6" spans="1:6" ht="15" customHeight="1" x14ac:dyDescent="0.2">
      <c r="A6" t="s">
        <v>53</v>
      </c>
      <c r="B6" t="s">
        <v>9</v>
      </c>
      <c r="C6" t="s">
        <v>40</v>
      </c>
      <c r="D6" t="s">
        <v>44</v>
      </c>
      <c r="E6" t="s">
        <v>58</v>
      </c>
      <c r="F6">
        <v>0.64</v>
      </c>
    </row>
    <row r="7" spans="1:6" ht="15" customHeight="1" x14ac:dyDescent="0.2">
      <c r="A7" t="s">
        <v>53</v>
      </c>
      <c r="B7" t="s">
        <v>9</v>
      </c>
      <c r="C7" t="s">
        <v>42</v>
      </c>
      <c r="D7" t="s">
        <v>44</v>
      </c>
      <c r="E7" t="s">
        <v>59</v>
      </c>
      <c r="F7">
        <v>8.76</v>
      </c>
    </row>
    <row r="8" spans="1:6" ht="15" customHeight="1" x14ac:dyDescent="0.2">
      <c r="A8" t="s">
        <v>53</v>
      </c>
      <c r="B8" t="s">
        <v>9</v>
      </c>
      <c r="C8" t="s">
        <v>41</v>
      </c>
      <c r="D8" t="s">
        <v>44</v>
      </c>
      <c r="E8" t="s">
        <v>60</v>
      </c>
      <c r="F8">
        <v>4.5</v>
      </c>
    </row>
    <row r="9" spans="1:6" ht="15" customHeight="1" x14ac:dyDescent="0.2">
      <c r="A9" t="s">
        <v>53</v>
      </c>
      <c r="B9" t="s">
        <v>9</v>
      </c>
      <c r="C9" t="s">
        <v>41</v>
      </c>
      <c r="D9" t="s">
        <v>44</v>
      </c>
      <c r="E9" t="s">
        <v>61</v>
      </c>
      <c r="F9">
        <v>0.6</v>
      </c>
    </row>
    <row r="10" spans="1:6" ht="15" customHeight="1" x14ac:dyDescent="0.2">
      <c r="A10" t="s">
        <v>53</v>
      </c>
      <c r="B10" t="s">
        <v>9</v>
      </c>
      <c r="C10" t="s">
        <v>41</v>
      </c>
      <c r="D10" t="s">
        <v>44</v>
      </c>
      <c r="E10" t="s">
        <v>62</v>
      </c>
      <c r="F10">
        <v>2.87</v>
      </c>
    </row>
    <row r="11" spans="1:6" ht="15" customHeight="1" x14ac:dyDescent="0.2">
      <c r="A11" t="s">
        <v>53</v>
      </c>
      <c r="B11" t="s">
        <v>9</v>
      </c>
      <c r="C11" t="s">
        <v>38</v>
      </c>
      <c r="D11" t="s">
        <v>44</v>
      </c>
      <c r="E11" t="s">
        <v>63</v>
      </c>
      <c r="F11">
        <v>3.2</v>
      </c>
    </row>
    <row r="12" spans="1:6" ht="15" customHeight="1" x14ac:dyDescent="0.2">
      <c r="A12" t="s">
        <v>53</v>
      </c>
      <c r="B12" t="s">
        <v>9</v>
      </c>
      <c r="C12" t="s">
        <v>38</v>
      </c>
      <c r="D12" t="s">
        <v>44</v>
      </c>
      <c r="E12" t="s">
        <v>64</v>
      </c>
      <c r="F12">
        <v>0.9</v>
      </c>
    </row>
    <row r="13" spans="1:6" ht="15" customHeight="1" x14ac:dyDescent="0.2">
      <c r="A13" t="s">
        <v>53</v>
      </c>
      <c r="B13" t="s">
        <v>9</v>
      </c>
      <c r="C13" t="s">
        <v>39</v>
      </c>
      <c r="D13" t="s">
        <v>44</v>
      </c>
      <c r="E13" t="s">
        <v>63</v>
      </c>
      <c r="F13">
        <v>2.2000000000000002</v>
      </c>
    </row>
    <row r="14" spans="1:6" ht="15" customHeight="1" x14ac:dyDescent="0.2">
      <c r="A14" t="s">
        <v>53</v>
      </c>
      <c r="B14" t="s">
        <v>9</v>
      </c>
      <c r="C14" t="s">
        <v>39</v>
      </c>
      <c r="D14" t="s">
        <v>44</v>
      </c>
      <c r="E14" t="s">
        <v>64</v>
      </c>
      <c r="F14">
        <v>0.9</v>
      </c>
    </row>
    <row r="15" spans="1:6" ht="15" customHeight="1" x14ac:dyDescent="0.2">
      <c r="A15" t="s">
        <v>53</v>
      </c>
      <c r="B15" t="s">
        <v>9</v>
      </c>
      <c r="C15" t="s">
        <v>42</v>
      </c>
      <c r="D15" t="s">
        <v>44</v>
      </c>
      <c r="E15" t="s">
        <v>63</v>
      </c>
      <c r="F15">
        <v>4.5</v>
      </c>
    </row>
    <row r="16" spans="1:6" ht="15" customHeight="1" x14ac:dyDescent="0.2">
      <c r="A16" t="s">
        <v>53</v>
      </c>
      <c r="B16" t="s">
        <v>9</v>
      </c>
      <c r="C16" t="s">
        <v>40</v>
      </c>
      <c r="D16" t="s">
        <v>44</v>
      </c>
      <c r="E16" t="s">
        <v>63</v>
      </c>
      <c r="F16">
        <v>3.8</v>
      </c>
    </row>
    <row r="17" spans="1:6" ht="15" customHeight="1" x14ac:dyDescent="0.2">
      <c r="A17" t="s">
        <v>53</v>
      </c>
      <c r="B17" t="s">
        <v>9</v>
      </c>
      <c r="C17" t="s">
        <v>41</v>
      </c>
      <c r="D17" t="s">
        <v>44</v>
      </c>
      <c r="E17" t="s">
        <v>63</v>
      </c>
      <c r="F17">
        <v>4.2</v>
      </c>
    </row>
    <row r="18" spans="1:6" ht="15" customHeight="1" x14ac:dyDescent="0.2">
      <c r="A18" t="s">
        <v>53</v>
      </c>
      <c r="B18" t="s">
        <v>9</v>
      </c>
      <c r="C18" t="s">
        <v>38</v>
      </c>
      <c r="D18" t="s">
        <v>44</v>
      </c>
      <c r="E18" t="s">
        <v>61</v>
      </c>
      <c r="F18">
        <v>0.6</v>
      </c>
    </row>
    <row r="19" spans="1:6" ht="15" customHeight="1" x14ac:dyDescent="0.2">
      <c r="A19" t="s">
        <v>65</v>
      </c>
      <c r="B19" t="s">
        <v>10</v>
      </c>
      <c r="C19" t="s">
        <v>42</v>
      </c>
      <c r="D19" t="s">
        <v>45</v>
      </c>
      <c r="E19" t="s">
        <v>54</v>
      </c>
      <c r="F19">
        <v>47.23</v>
      </c>
    </row>
    <row r="20" spans="1:6" ht="15" customHeight="1" x14ac:dyDescent="0.2">
      <c r="A20" t="s">
        <v>65</v>
      </c>
      <c r="B20" t="s">
        <v>10</v>
      </c>
      <c r="C20" t="s">
        <v>42</v>
      </c>
      <c r="D20" t="s">
        <v>45</v>
      </c>
      <c r="E20" t="s">
        <v>55</v>
      </c>
      <c r="F20">
        <v>40.93</v>
      </c>
    </row>
    <row r="21" spans="1:6" ht="15" customHeight="1" x14ac:dyDescent="0.2">
      <c r="A21" t="s">
        <v>65</v>
      </c>
      <c r="B21" t="s">
        <v>10</v>
      </c>
      <c r="C21" t="s">
        <v>42</v>
      </c>
      <c r="D21" t="s">
        <v>45</v>
      </c>
      <c r="E21" t="s">
        <v>56</v>
      </c>
      <c r="F21">
        <v>16.170000000000002</v>
      </c>
    </row>
    <row r="22" spans="1:6" ht="15" customHeight="1" x14ac:dyDescent="0.2">
      <c r="A22" t="s">
        <v>65</v>
      </c>
      <c r="B22" t="s">
        <v>10</v>
      </c>
      <c r="C22" t="s">
        <v>40</v>
      </c>
      <c r="D22" t="s">
        <v>44</v>
      </c>
      <c r="E22" t="s">
        <v>57</v>
      </c>
      <c r="F22">
        <v>10.91</v>
      </c>
    </row>
    <row r="23" spans="1:6" ht="15" customHeight="1" x14ac:dyDescent="0.2">
      <c r="A23" t="s">
        <v>65</v>
      </c>
      <c r="B23" t="s">
        <v>10</v>
      </c>
      <c r="C23" t="s">
        <v>40</v>
      </c>
      <c r="D23" t="s">
        <v>44</v>
      </c>
      <c r="E23" t="s">
        <v>58</v>
      </c>
      <c r="F23">
        <v>0.53</v>
      </c>
    </row>
    <row r="24" spans="1:6" ht="15" customHeight="1" x14ac:dyDescent="0.2">
      <c r="A24" t="s">
        <v>65</v>
      </c>
      <c r="B24" t="s">
        <v>10</v>
      </c>
      <c r="C24" t="s">
        <v>42</v>
      </c>
      <c r="D24" t="s">
        <v>44</v>
      </c>
      <c r="E24" t="s">
        <v>59</v>
      </c>
      <c r="F24">
        <v>10.53</v>
      </c>
    </row>
    <row r="25" spans="1:6" ht="15" customHeight="1" x14ac:dyDescent="0.2">
      <c r="A25" t="s">
        <v>65</v>
      </c>
      <c r="B25" t="s">
        <v>10</v>
      </c>
      <c r="C25" t="s">
        <v>41</v>
      </c>
      <c r="D25" t="s">
        <v>44</v>
      </c>
      <c r="E25" t="s">
        <v>60</v>
      </c>
      <c r="F25">
        <v>5.49</v>
      </c>
    </row>
    <row r="26" spans="1:6" ht="15" customHeight="1" x14ac:dyDescent="0.2">
      <c r="A26" t="s">
        <v>65</v>
      </c>
      <c r="B26" t="s">
        <v>10</v>
      </c>
      <c r="C26" t="s">
        <v>41</v>
      </c>
      <c r="D26" t="s">
        <v>44</v>
      </c>
      <c r="E26" t="s">
        <v>61</v>
      </c>
      <c r="F26">
        <v>0.6</v>
      </c>
    </row>
    <row r="27" spans="1:6" ht="15" customHeight="1" x14ac:dyDescent="0.2">
      <c r="A27" t="s">
        <v>65</v>
      </c>
      <c r="B27" t="s">
        <v>10</v>
      </c>
      <c r="C27" t="s">
        <v>41</v>
      </c>
      <c r="D27" t="s">
        <v>44</v>
      </c>
      <c r="E27" t="s">
        <v>62</v>
      </c>
      <c r="F27">
        <v>3.24</v>
      </c>
    </row>
    <row r="28" spans="1:6" ht="15" customHeight="1" x14ac:dyDescent="0.2">
      <c r="A28" t="s">
        <v>65</v>
      </c>
      <c r="B28" t="s">
        <v>10</v>
      </c>
      <c r="C28" t="s">
        <v>38</v>
      </c>
      <c r="D28" t="s">
        <v>44</v>
      </c>
      <c r="E28" t="s">
        <v>63</v>
      </c>
      <c r="F28">
        <v>3.2</v>
      </c>
    </row>
    <row r="29" spans="1:6" ht="15" customHeight="1" x14ac:dyDescent="0.2">
      <c r="A29" t="s">
        <v>65</v>
      </c>
      <c r="B29" t="s">
        <v>10</v>
      </c>
      <c r="C29" t="s">
        <v>38</v>
      </c>
      <c r="D29" t="s">
        <v>44</v>
      </c>
      <c r="E29" t="s">
        <v>64</v>
      </c>
      <c r="F29">
        <v>0.9</v>
      </c>
    </row>
    <row r="30" spans="1:6" ht="15" customHeight="1" x14ac:dyDescent="0.2">
      <c r="A30" t="s">
        <v>65</v>
      </c>
      <c r="B30" t="s">
        <v>10</v>
      </c>
      <c r="C30" t="s">
        <v>39</v>
      </c>
      <c r="D30" t="s">
        <v>44</v>
      </c>
      <c r="E30" t="s">
        <v>63</v>
      </c>
      <c r="F30">
        <v>2.2000000000000002</v>
      </c>
    </row>
    <row r="31" spans="1:6" ht="15" customHeight="1" x14ac:dyDescent="0.2">
      <c r="A31" t="s">
        <v>65</v>
      </c>
      <c r="B31" t="s">
        <v>10</v>
      </c>
      <c r="C31" t="s">
        <v>39</v>
      </c>
      <c r="D31" t="s">
        <v>44</v>
      </c>
      <c r="E31" t="s">
        <v>64</v>
      </c>
      <c r="F31">
        <v>0.9</v>
      </c>
    </row>
    <row r="32" spans="1:6" ht="15" customHeight="1" x14ac:dyDescent="0.2">
      <c r="A32" t="s">
        <v>65</v>
      </c>
      <c r="B32" t="s">
        <v>10</v>
      </c>
      <c r="C32" t="s">
        <v>42</v>
      </c>
      <c r="D32" t="s">
        <v>44</v>
      </c>
      <c r="E32" t="s">
        <v>63</v>
      </c>
      <c r="F32">
        <v>4.5</v>
      </c>
    </row>
    <row r="33" spans="1:6" ht="15" customHeight="1" x14ac:dyDescent="0.2">
      <c r="A33" t="s">
        <v>65</v>
      </c>
      <c r="B33" t="s">
        <v>10</v>
      </c>
      <c r="C33" t="s">
        <v>40</v>
      </c>
      <c r="D33" t="s">
        <v>44</v>
      </c>
      <c r="E33" t="s">
        <v>63</v>
      </c>
      <c r="F33">
        <v>3.8</v>
      </c>
    </row>
    <row r="34" spans="1:6" ht="15" customHeight="1" x14ac:dyDescent="0.2">
      <c r="A34" t="s">
        <v>65</v>
      </c>
      <c r="B34" t="s">
        <v>10</v>
      </c>
      <c r="C34" t="s">
        <v>41</v>
      </c>
      <c r="D34" t="s">
        <v>44</v>
      </c>
      <c r="E34" t="s">
        <v>63</v>
      </c>
      <c r="F34">
        <v>4.2</v>
      </c>
    </row>
    <row r="35" spans="1:6" ht="15" customHeight="1" x14ac:dyDescent="0.2">
      <c r="A35" t="s">
        <v>65</v>
      </c>
      <c r="B35" t="s">
        <v>10</v>
      </c>
      <c r="C35" t="s">
        <v>38</v>
      </c>
      <c r="D35" t="s">
        <v>44</v>
      </c>
      <c r="E35" t="s">
        <v>61</v>
      </c>
      <c r="F35">
        <v>0.6</v>
      </c>
    </row>
    <row r="36" spans="1:6" ht="15" customHeight="1" x14ac:dyDescent="0.2">
      <c r="A36" t="s">
        <v>66</v>
      </c>
      <c r="B36" t="s">
        <v>11</v>
      </c>
      <c r="C36" t="s">
        <v>42</v>
      </c>
      <c r="D36" t="s">
        <v>45</v>
      </c>
      <c r="E36" t="s">
        <v>54</v>
      </c>
      <c r="F36">
        <v>50.05</v>
      </c>
    </row>
    <row r="37" spans="1:6" ht="15" customHeight="1" x14ac:dyDescent="0.2">
      <c r="A37" t="s">
        <v>66</v>
      </c>
      <c r="B37" t="s">
        <v>11</v>
      </c>
      <c r="C37" t="s">
        <v>42</v>
      </c>
      <c r="D37" t="s">
        <v>45</v>
      </c>
      <c r="E37" t="s">
        <v>55</v>
      </c>
      <c r="F37">
        <v>42.73</v>
      </c>
    </row>
    <row r="38" spans="1:6" ht="15" customHeight="1" x14ac:dyDescent="0.2">
      <c r="A38" t="s">
        <v>66</v>
      </c>
      <c r="B38" t="s">
        <v>11</v>
      </c>
      <c r="C38" t="s">
        <v>42</v>
      </c>
      <c r="D38" t="s">
        <v>45</v>
      </c>
      <c r="E38" t="s">
        <v>56</v>
      </c>
      <c r="F38">
        <v>16.93</v>
      </c>
    </row>
    <row r="39" spans="1:6" ht="15" customHeight="1" x14ac:dyDescent="0.2">
      <c r="A39" t="s">
        <v>66</v>
      </c>
      <c r="B39" t="s">
        <v>11</v>
      </c>
      <c r="C39" t="s">
        <v>40</v>
      </c>
      <c r="D39" t="s">
        <v>44</v>
      </c>
      <c r="E39" t="s">
        <v>57</v>
      </c>
      <c r="F39">
        <v>10.97</v>
      </c>
    </row>
    <row r="40" spans="1:6" ht="15" customHeight="1" x14ac:dyDescent="0.2">
      <c r="A40" t="s">
        <v>66</v>
      </c>
      <c r="B40" t="s">
        <v>11</v>
      </c>
      <c r="C40" t="s">
        <v>40</v>
      </c>
      <c r="D40" t="s">
        <v>44</v>
      </c>
      <c r="E40" t="s">
        <v>58</v>
      </c>
      <c r="F40">
        <v>0.67</v>
      </c>
    </row>
    <row r="41" spans="1:6" ht="15" customHeight="1" x14ac:dyDescent="0.2">
      <c r="A41" t="s">
        <v>66</v>
      </c>
      <c r="B41" t="s">
        <v>11</v>
      </c>
      <c r="C41" t="s">
        <v>42</v>
      </c>
      <c r="D41" t="s">
        <v>44</v>
      </c>
      <c r="E41" t="s">
        <v>59</v>
      </c>
      <c r="F41">
        <v>10.92</v>
      </c>
    </row>
    <row r="42" spans="1:6" ht="15" customHeight="1" x14ac:dyDescent="0.2">
      <c r="A42" t="s">
        <v>66</v>
      </c>
      <c r="B42" t="s">
        <v>11</v>
      </c>
      <c r="C42" t="s">
        <v>41</v>
      </c>
      <c r="D42" t="s">
        <v>44</v>
      </c>
      <c r="E42" t="s">
        <v>60</v>
      </c>
      <c r="F42">
        <v>5.35</v>
      </c>
    </row>
    <row r="43" spans="1:6" ht="15" customHeight="1" x14ac:dyDescent="0.2">
      <c r="A43" t="s">
        <v>66</v>
      </c>
      <c r="B43" t="s">
        <v>11</v>
      </c>
      <c r="C43" t="s">
        <v>41</v>
      </c>
      <c r="D43" t="s">
        <v>44</v>
      </c>
      <c r="E43" t="s">
        <v>61</v>
      </c>
      <c r="F43">
        <v>0.6</v>
      </c>
    </row>
    <row r="44" spans="1:6" ht="15" customHeight="1" x14ac:dyDescent="0.2">
      <c r="A44" t="s">
        <v>66</v>
      </c>
      <c r="B44" t="s">
        <v>11</v>
      </c>
      <c r="C44" t="s">
        <v>41</v>
      </c>
      <c r="D44" t="s">
        <v>44</v>
      </c>
      <c r="E44" t="s">
        <v>62</v>
      </c>
      <c r="F44">
        <v>3.54</v>
      </c>
    </row>
    <row r="45" spans="1:6" ht="15" customHeight="1" x14ac:dyDescent="0.2">
      <c r="A45" t="s">
        <v>66</v>
      </c>
      <c r="B45" t="s">
        <v>11</v>
      </c>
      <c r="C45" t="s">
        <v>38</v>
      </c>
      <c r="D45" t="s">
        <v>44</v>
      </c>
      <c r="E45" t="s">
        <v>63</v>
      </c>
      <c r="F45">
        <v>3.2</v>
      </c>
    </row>
    <row r="46" spans="1:6" ht="15" customHeight="1" x14ac:dyDescent="0.2">
      <c r="A46" t="s">
        <v>66</v>
      </c>
      <c r="B46" t="s">
        <v>11</v>
      </c>
      <c r="C46" t="s">
        <v>38</v>
      </c>
      <c r="D46" t="s">
        <v>44</v>
      </c>
      <c r="E46" t="s">
        <v>64</v>
      </c>
      <c r="F46">
        <v>0.9</v>
      </c>
    </row>
    <row r="47" spans="1:6" ht="15" customHeight="1" x14ac:dyDescent="0.2">
      <c r="A47" t="s">
        <v>66</v>
      </c>
      <c r="B47" t="s">
        <v>11</v>
      </c>
      <c r="C47" t="s">
        <v>39</v>
      </c>
      <c r="D47" t="s">
        <v>44</v>
      </c>
      <c r="E47" t="s">
        <v>63</v>
      </c>
      <c r="F47">
        <v>2.2000000000000002</v>
      </c>
    </row>
    <row r="48" spans="1:6" ht="15" customHeight="1" x14ac:dyDescent="0.2">
      <c r="A48" t="s">
        <v>66</v>
      </c>
      <c r="B48" t="s">
        <v>11</v>
      </c>
      <c r="C48" t="s">
        <v>39</v>
      </c>
      <c r="D48" t="s">
        <v>44</v>
      </c>
      <c r="E48" t="s">
        <v>64</v>
      </c>
      <c r="F48">
        <v>0.9</v>
      </c>
    </row>
    <row r="49" spans="1:6" ht="15" customHeight="1" x14ac:dyDescent="0.2">
      <c r="A49" t="s">
        <v>66</v>
      </c>
      <c r="B49" t="s">
        <v>11</v>
      </c>
      <c r="C49" t="s">
        <v>42</v>
      </c>
      <c r="D49" t="s">
        <v>44</v>
      </c>
      <c r="E49" t="s">
        <v>63</v>
      </c>
      <c r="F49">
        <v>4.5</v>
      </c>
    </row>
    <row r="50" spans="1:6" ht="15" customHeight="1" x14ac:dyDescent="0.2">
      <c r="A50" t="s">
        <v>66</v>
      </c>
      <c r="B50" t="s">
        <v>11</v>
      </c>
      <c r="C50" t="s">
        <v>40</v>
      </c>
      <c r="D50" t="s">
        <v>44</v>
      </c>
      <c r="E50" t="s">
        <v>63</v>
      </c>
      <c r="F50">
        <v>3.8</v>
      </c>
    </row>
    <row r="51" spans="1:6" ht="15" customHeight="1" x14ac:dyDescent="0.2">
      <c r="A51" t="s">
        <v>66</v>
      </c>
      <c r="B51" t="s">
        <v>11</v>
      </c>
      <c r="C51" t="s">
        <v>41</v>
      </c>
      <c r="D51" t="s">
        <v>44</v>
      </c>
      <c r="E51" t="s">
        <v>63</v>
      </c>
      <c r="F51">
        <v>4.2</v>
      </c>
    </row>
    <row r="52" spans="1:6" ht="15" customHeight="1" x14ac:dyDescent="0.2">
      <c r="A52" t="s">
        <v>66</v>
      </c>
      <c r="B52" t="s">
        <v>11</v>
      </c>
      <c r="C52" t="s">
        <v>38</v>
      </c>
      <c r="D52" t="s">
        <v>44</v>
      </c>
      <c r="E52" t="s">
        <v>61</v>
      </c>
      <c r="F52">
        <v>0.6</v>
      </c>
    </row>
    <row r="53" spans="1:6" ht="15" customHeight="1" x14ac:dyDescent="0.2">
      <c r="A53" t="s">
        <v>67</v>
      </c>
      <c r="B53" t="s">
        <v>12</v>
      </c>
      <c r="C53" t="s">
        <v>42</v>
      </c>
      <c r="D53" t="s">
        <v>45</v>
      </c>
      <c r="E53" t="s">
        <v>54</v>
      </c>
      <c r="F53">
        <v>43.53</v>
      </c>
    </row>
    <row r="54" spans="1:6" ht="15" customHeight="1" x14ac:dyDescent="0.2">
      <c r="A54" t="s">
        <v>67</v>
      </c>
      <c r="B54" t="s">
        <v>12</v>
      </c>
      <c r="C54" t="s">
        <v>42</v>
      </c>
      <c r="D54" t="s">
        <v>45</v>
      </c>
      <c r="E54" t="s">
        <v>55</v>
      </c>
      <c r="F54">
        <v>38.79</v>
      </c>
    </row>
    <row r="55" spans="1:6" ht="15" customHeight="1" x14ac:dyDescent="0.2">
      <c r="A55" t="s">
        <v>67</v>
      </c>
      <c r="B55" t="s">
        <v>12</v>
      </c>
      <c r="C55" t="s">
        <v>42</v>
      </c>
      <c r="D55" t="s">
        <v>45</v>
      </c>
      <c r="E55" t="s">
        <v>56</v>
      </c>
      <c r="F55">
        <v>14.93</v>
      </c>
    </row>
    <row r="56" spans="1:6" ht="15" customHeight="1" x14ac:dyDescent="0.2">
      <c r="A56" t="s">
        <v>67</v>
      </c>
      <c r="B56" t="s">
        <v>12</v>
      </c>
      <c r="C56" t="s">
        <v>40</v>
      </c>
      <c r="D56" t="s">
        <v>44</v>
      </c>
      <c r="E56" t="s">
        <v>57</v>
      </c>
      <c r="F56">
        <v>7.98</v>
      </c>
    </row>
    <row r="57" spans="1:6" ht="15" customHeight="1" x14ac:dyDescent="0.2">
      <c r="A57" t="s">
        <v>67</v>
      </c>
      <c r="B57" t="s">
        <v>12</v>
      </c>
      <c r="C57" t="s">
        <v>40</v>
      </c>
      <c r="D57" t="s">
        <v>44</v>
      </c>
      <c r="E57" t="s">
        <v>58</v>
      </c>
      <c r="F57">
        <v>0.62</v>
      </c>
    </row>
    <row r="58" spans="1:6" ht="15" customHeight="1" x14ac:dyDescent="0.2">
      <c r="A58" t="s">
        <v>67</v>
      </c>
      <c r="B58" t="s">
        <v>12</v>
      </c>
      <c r="C58" t="s">
        <v>42</v>
      </c>
      <c r="D58" t="s">
        <v>44</v>
      </c>
      <c r="E58" t="s">
        <v>59</v>
      </c>
      <c r="F58">
        <v>9.9600000000000009</v>
      </c>
    </row>
    <row r="59" spans="1:6" ht="15" customHeight="1" x14ac:dyDescent="0.2">
      <c r="A59" t="s">
        <v>67</v>
      </c>
      <c r="B59" t="s">
        <v>12</v>
      </c>
      <c r="C59" t="s">
        <v>41</v>
      </c>
      <c r="D59" t="s">
        <v>44</v>
      </c>
      <c r="E59" t="s">
        <v>60</v>
      </c>
      <c r="F59">
        <v>4.9800000000000004</v>
      </c>
    </row>
    <row r="60" spans="1:6" ht="15" customHeight="1" x14ac:dyDescent="0.2">
      <c r="A60" t="s">
        <v>67</v>
      </c>
      <c r="B60" t="s">
        <v>12</v>
      </c>
      <c r="C60" t="s">
        <v>41</v>
      </c>
      <c r="D60" t="s">
        <v>44</v>
      </c>
      <c r="E60" t="s">
        <v>61</v>
      </c>
      <c r="F60">
        <v>0.6</v>
      </c>
    </row>
    <row r="61" spans="1:6" ht="15" customHeight="1" x14ac:dyDescent="0.2">
      <c r="A61" t="s">
        <v>67</v>
      </c>
      <c r="B61" t="s">
        <v>12</v>
      </c>
      <c r="C61" t="s">
        <v>41</v>
      </c>
      <c r="D61" t="s">
        <v>44</v>
      </c>
      <c r="E61" t="s">
        <v>62</v>
      </c>
      <c r="F61">
        <v>3.32</v>
      </c>
    </row>
    <row r="62" spans="1:6" ht="15" customHeight="1" x14ac:dyDescent="0.2">
      <c r="A62" t="s">
        <v>67</v>
      </c>
      <c r="B62" t="s">
        <v>12</v>
      </c>
      <c r="C62" t="s">
        <v>38</v>
      </c>
      <c r="D62" t="s">
        <v>44</v>
      </c>
      <c r="E62" t="s">
        <v>63</v>
      </c>
      <c r="F62">
        <v>3.2</v>
      </c>
    </row>
    <row r="63" spans="1:6" ht="15" customHeight="1" x14ac:dyDescent="0.2">
      <c r="A63" t="s">
        <v>67</v>
      </c>
      <c r="B63" t="s">
        <v>12</v>
      </c>
      <c r="C63" t="s">
        <v>38</v>
      </c>
      <c r="D63" t="s">
        <v>44</v>
      </c>
      <c r="E63" t="s">
        <v>64</v>
      </c>
      <c r="F63">
        <v>0.9</v>
      </c>
    </row>
    <row r="64" spans="1:6" ht="15" customHeight="1" x14ac:dyDescent="0.2">
      <c r="A64" t="s">
        <v>67</v>
      </c>
      <c r="B64" t="s">
        <v>12</v>
      </c>
      <c r="C64" t="s">
        <v>39</v>
      </c>
      <c r="D64" t="s">
        <v>44</v>
      </c>
      <c r="E64" t="s">
        <v>63</v>
      </c>
      <c r="F64">
        <v>2.2000000000000002</v>
      </c>
    </row>
    <row r="65" spans="1:6" ht="15" customHeight="1" x14ac:dyDescent="0.2">
      <c r="A65" t="s">
        <v>67</v>
      </c>
      <c r="B65" t="s">
        <v>12</v>
      </c>
      <c r="C65" t="s">
        <v>39</v>
      </c>
      <c r="D65" t="s">
        <v>44</v>
      </c>
      <c r="E65" t="s">
        <v>64</v>
      </c>
      <c r="F65">
        <v>0.9</v>
      </c>
    </row>
    <row r="66" spans="1:6" ht="15" customHeight="1" x14ac:dyDescent="0.2">
      <c r="A66" t="s">
        <v>67</v>
      </c>
      <c r="B66" t="s">
        <v>12</v>
      </c>
      <c r="C66" t="s">
        <v>42</v>
      </c>
      <c r="D66" t="s">
        <v>44</v>
      </c>
      <c r="E66" t="s">
        <v>63</v>
      </c>
      <c r="F66">
        <v>4.5</v>
      </c>
    </row>
    <row r="67" spans="1:6" ht="15" customHeight="1" x14ac:dyDescent="0.2">
      <c r="A67" t="s">
        <v>67</v>
      </c>
      <c r="B67" t="s">
        <v>12</v>
      </c>
      <c r="C67" t="s">
        <v>40</v>
      </c>
      <c r="D67" t="s">
        <v>44</v>
      </c>
      <c r="E67" t="s">
        <v>63</v>
      </c>
      <c r="F67">
        <v>3.8</v>
      </c>
    </row>
    <row r="68" spans="1:6" ht="15" customHeight="1" x14ac:dyDescent="0.2">
      <c r="A68" t="s">
        <v>67</v>
      </c>
      <c r="B68" t="s">
        <v>12</v>
      </c>
      <c r="C68" t="s">
        <v>41</v>
      </c>
      <c r="D68" t="s">
        <v>44</v>
      </c>
      <c r="E68" t="s">
        <v>63</v>
      </c>
      <c r="F68">
        <v>4.2</v>
      </c>
    </row>
    <row r="69" spans="1:6" ht="15" customHeight="1" x14ac:dyDescent="0.2">
      <c r="A69" t="s">
        <v>67</v>
      </c>
      <c r="B69" t="s">
        <v>12</v>
      </c>
      <c r="C69" t="s">
        <v>38</v>
      </c>
      <c r="D69" t="s">
        <v>44</v>
      </c>
      <c r="E69" t="s">
        <v>61</v>
      </c>
      <c r="F69">
        <v>0.6</v>
      </c>
    </row>
    <row r="70" spans="1:6" ht="15" customHeight="1" x14ac:dyDescent="0.2">
      <c r="A70" t="s">
        <v>68</v>
      </c>
      <c r="B70" t="s">
        <v>13</v>
      </c>
      <c r="C70" t="s">
        <v>42</v>
      </c>
      <c r="D70" t="s">
        <v>45</v>
      </c>
      <c r="E70" t="s">
        <v>54</v>
      </c>
      <c r="F70">
        <v>45.19</v>
      </c>
    </row>
    <row r="71" spans="1:6" ht="15" customHeight="1" x14ac:dyDescent="0.2">
      <c r="A71" t="s">
        <v>68</v>
      </c>
      <c r="B71" t="s">
        <v>13</v>
      </c>
      <c r="C71" t="s">
        <v>42</v>
      </c>
      <c r="D71" t="s">
        <v>45</v>
      </c>
      <c r="E71" t="s">
        <v>55</v>
      </c>
      <c r="F71">
        <v>39.799999999999997</v>
      </c>
    </row>
    <row r="72" spans="1:6" ht="15" customHeight="1" x14ac:dyDescent="0.2">
      <c r="A72" t="s">
        <v>68</v>
      </c>
      <c r="B72" t="s">
        <v>13</v>
      </c>
      <c r="C72" t="s">
        <v>42</v>
      </c>
      <c r="D72" t="s">
        <v>45</v>
      </c>
      <c r="E72" t="s">
        <v>56</v>
      </c>
      <c r="F72">
        <v>15.58</v>
      </c>
    </row>
    <row r="73" spans="1:6" ht="15" customHeight="1" x14ac:dyDescent="0.2">
      <c r="A73" t="s">
        <v>68</v>
      </c>
      <c r="B73" t="s">
        <v>13</v>
      </c>
      <c r="C73" t="s">
        <v>40</v>
      </c>
      <c r="D73" t="s">
        <v>44</v>
      </c>
      <c r="E73" t="s">
        <v>57</v>
      </c>
      <c r="F73">
        <v>8.6199999999999992</v>
      </c>
    </row>
    <row r="74" spans="1:6" ht="15" customHeight="1" x14ac:dyDescent="0.2">
      <c r="A74" t="s">
        <v>68</v>
      </c>
      <c r="B74" t="s">
        <v>13</v>
      </c>
      <c r="C74" t="s">
        <v>40</v>
      </c>
      <c r="D74" t="s">
        <v>44</v>
      </c>
      <c r="E74" t="s">
        <v>58</v>
      </c>
      <c r="F74">
        <v>0.83</v>
      </c>
    </row>
    <row r="75" spans="1:6" ht="15" customHeight="1" x14ac:dyDescent="0.2">
      <c r="A75" t="s">
        <v>68</v>
      </c>
      <c r="B75" t="s">
        <v>13</v>
      </c>
      <c r="C75" t="s">
        <v>42</v>
      </c>
      <c r="D75" t="s">
        <v>44</v>
      </c>
      <c r="E75" t="s">
        <v>59</v>
      </c>
      <c r="F75">
        <v>10.15</v>
      </c>
    </row>
    <row r="76" spans="1:6" ht="15" customHeight="1" x14ac:dyDescent="0.2">
      <c r="A76" t="s">
        <v>68</v>
      </c>
      <c r="B76" t="s">
        <v>13</v>
      </c>
      <c r="C76" t="s">
        <v>41</v>
      </c>
      <c r="D76" t="s">
        <v>44</v>
      </c>
      <c r="E76" t="s">
        <v>60</v>
      </c>
      <c r="F76">
        <v>4.93</v>
      </c>
    </row>
    <row r="77" spans="1:6" ht="15" customHeight="1" x14ac:dyDescent="0.2">
      <c r="A77" t="s">
        <v>68</v>
      </c>
      <c r="B77" t="s">
        <v>13</v>
      </c>
      <c r="C77" t="s">
        <v>41</v>
      </c>
      <c r="D77" t="s">
        <v>44</v>
      </c>
      <c r="E77" t="s">
        <v>61</v>
      </c>
      <c r="F77">
        <v>0.6</v>
      </c>
    </row>
    <row r="78" spans="1:6" ht="15" customHeight="1" x14ac:dyDescent="0.2">
      <c r="A78" t="s">
        <v>68</v>
      </c>
      <c r="B78" t="s">
        <v>13</v>
      </c>
      <c r="C78" t="s">
        <v>41</v>
      </c>
      <c r="D78" t="s">
        <v>44</v>
      </c>
      <c r="E78" t="s">
        <v>62</v>
      </c>
      <c r="F78">
        <v>2.91</v>
      </c>
    </row>
    <row r="79" spans="1:6" ht="15" customHeight="1" x14ac:dyDescent="0.2">
      <c r="A79" t="s">
        <v>68</v>
      </c>
      <c r="B79" t="s">
        <v>13</v>
      </c>
      <c r="C79" t="s">
        <v>38</v>
      </c>
      <c r="D79" t="s">
        <v>44</v>
      </c>
      <c r="E79" t="s">
        <v>63</v>
      </c>
      <c r="F79">
        <v>3.2</v>
      </c>
    </row>
    <row r="80" spans="1:6" ht="15" customHeight="1" x14ac:dyDescent="0.2">
      <c r="A80" t="s">
        <v>68</v>
      </c>
      <c r="B80" t="s">
        <v>13</v>
      </c>
      <c r="C80" t="s">
        <v>38</v>
      </c>
      <c r="D80" t="s">
        <v>44</v>
      </c>
      <c r="E80" t="s">
        <v>64</v>
      </c>
      <c r="F80">
        <v>0.9</v>
      </c>
    </row>
    <row r="81" spans="1:6" ht="15" customHeight="1" x14ac:dyDescent="0.2">
      <c r="A81" t="s">
        <v>68</v>
      </c>
      <c r="B81" t="s">
        <v>13</v>
      </c>
      <c r="C81" t="s">
        <v>39</v>
      </c>
      <c r="D81" t="s">
        <v>44</v>
      </c>
      <c r="E81" t="s">
        <v>63</v>
      </c>
      <c r="F81">
        <v>2.2000000000000002</v>
      </c>
    </row>
    <row r="82" spans="1:6" ht="15" customHeight="1" x14ac:dyDescent="0.2">
      <c r="A82" t="s">
        <v>68</v>
      </c>
      <c r="B82" t="s">
        <v>13</v>
      </c>
      <c r="C82" t="s">
        <v>39</v>
      </c>
      <c r="D82" t="s">
        <v>44</v>
      </c>
      <c r="E82" t="s">
        <v>64</v>
      </c>
      <c r="F82">
        <v>0.9</v>
      </c>
    </row>
    <row r="83" spans="1:6" ht="15" customHeight="1" x14ac:dyDescent="0.2">
      <c r="A83" t="s">
        <v>68</v>
      </c>
      <c r="B83" t="s">
        <v>13</v>
      </c>
      <c r="C83" t="s">
        <v>42</v>
      </c>
      <c r="D83" t="s">
        <v>44</v>
      </c>
      <c r="E83" t="s">
        <v>63</v>
      </c>
      <c r="F83">
        <v>4.5</v>
      </c>
    </row>
    <row r="84" spans="1:6" ht="15" customHeight="1" x14ac:dyDescent="0.2">
      <c r="A84" t="s">
        <v>68</v>
      </c>
      <c r="B84" t="s">
        <v>13</v>
      </c>
      <c r="C84" t="s">
        <v>40</v>
      </c>
      <c r="D84" t="s">
        <v>44</v>
      </c>
      <c r="E84" t="s">
        <v>63</v>
      </c>
      <c r="F84">
        <v>3.8</v>
      </c>
    </row>
    <row r="85" spans="1:6" ht="15" customHeight="1" x14ac:dyDescent="0.2">
      <c r="A85" t="s">
        <v>68</v>
      </c>
      <c r="B85" t="s">
        <v>13</v>
      </c>
      <c r="C85" t="s">
        <v>41</v>
      </c>
      <c r="D85" t="s">
        <v>44</v>
      </c>
      <c r="E85" t="s">
        <v>63</v>
      </c>
      <c r="F85">
        <v>4.2</v>
      </c>
    </row>
    <row r="86" spans="1:6" ht="15" customHeight="1" x14ac:dyDescent="0.2">
      <c r="A86" t="s">
        <v>68</v>
      </c>
      <c r="B86" t="s">
        <v>13</v>
      </c>
      <c r="C86" t="s">
        <v>38</v>
      </c>
      <c r="D86" t="s">
        <v>44</v>
      </c>
      <c r="E86" t="s">
        <v>61</v>
      </c>
      <c r="F86">
        <v>0.6</v>
      </c>
    </row>
    <row r="87" spans="1:6" ht="15" customHeight="1" x14ac:dyDescent="0.2">
      <c r="A87" t="s">
        <v>69</v>
      </c>
      <c r="B87" t="s">
        <v>14</v>
      </c>
      <c r="C87" t="s">
        <v>42</v>
      </c>
      <c r="D87" t="s">
        <v>45</v>
      </c>
      <c r="E87" t="s">
        <v>54</v>
      </c>
      <c r="F87">
        <v>49.68</v>
      </c>
    </row>
    <row r="88" spans="1:6" ht="15" customHeight="1" x14ac:dyDescent="0.2">
      <c r="A88" t="s">
        <v>69</v>
      </c>
      <c r="B88" t="s">
        <v>14</v>
      </c>
      <c r="C88" t="s">
        <v>42</v>
      </c>
      <c r="D88" t="s">
        <v>45</v>
      </c>
      <c r="E88" t="s">
        <v>55</v>
      </c>
      <c r="F88">
        <v>43.9</v>
      </c>
    </row>
    <row r="89" spans="1:6" ht="15" customHeight="1" x14ac:dyDescent="0.2">
      <c r="A89" t="s">
        <v>69</v>
      </c>
      <c r="B89" t="s">
        <v>14</v>
      </c>
      <c r="C89" t="s">
        <v>42</v>
      </c>
      <c r="D89" t="s">
        <v>45</v>
      </c>
      <c r="E89" t="s">
        <v>56</v>
      </c>
      <c r="F89">
        <v>15.88</v>
      </c>
    </row>
    <row r="90" spans="1:6" ht="15" customHeight="1" x14ac:dyDescent="0.2">
      <c r="A90" t="s">
        <v>69</v>
      </c>
      <c r="B90" t="s">
        <v>14</v>
      </c>
      <c r="C90" t="s">
        <v>40</v>
      </c>
      <c r="D90" t="s">
        <v>44</v>
      </c>
      <c r="E90" t="s">
        <v>57</v>
      </c>
      <c r="F90">
        <v>8.74</v>
      </c>
    </row>
    <row r="91" spans="1:6" ht="15" customHeight="1" x14ac:dyDescent="0.2">
      <c r="A91" t="s">
        <v>69</v>
      </c>
      <c r="B91" t="s">
        <v>14</v>
      </c>
      <c r="C91" t="s">
        <v>40</v>
      </c>
      <c r="D91" t="s">
        <v>44</v>
      </c>
      <c r="E91" t="s">
        <v>58</v>
      </c>
      <c r="F91">
        <v>0.74</v>
      </c>
    </row>
    <row r="92" spans="1:6" ht="15" customHeight="1" x14ac:dyDescent="0.2">
      <c r="A92" t="s">
        <v>69</v>
      </c>
      <c r="B92" t="s">
        <v>14</v>
      </c>
      <c r="C92" t="s">
        <v>42</v>
      </c>
      <c r="D92" t="s">
        <v>44</v>
      </c>
      <c r="E92" t="s">
        <v>59</v>
      </c>
      <c r="F92">
        <v>10.85</v>
      </c>
    </row>
    <row r="93" spans="1:6" ht="15" customHeight="1" x14ac:dyDescent="0.2">
      <c r="A93" t="s">
        <v>69</v>
      </c>
      <c r="B93" t="s">
        <v>14</v>
      </c>
      <c r="C93" t="s">
        <v>41</v>
      </c>
      <c r="D93" t="s">
        <v>44</v>
      </c>
      <c r="E93" t="s">
        <v>60</v>
      </c>
      <c r="F93">
        <v>5.45</v>
      </c>
    </row>
    <row r="94" spans="1:6" ht="15" customHeight="1" x14ac:dyDescent="0.2">
      <c r="A94" t="s">
        <v>69</v>
      </c>
      <c r="B94" t="s">
        <v>14</v>
      </c>
      <c r="C94" t="s">
        <v>41</v>
      </c>
      <c r="D94" t="s">
        <v>44</v>
      </c>
      <c r="E94" t="s">
        <v>61</v>
      </c>
      <c r="F94">
        <v>0.6</v>
      </c>
    </row>
    <row r="95" spans="1:6" ht="15" customHeight="1" x14ac:dyDescent="0.2">
      <c r="A95" t="s">
        <v>69</v>
      </c>
      <c r="B95" t="s">
        <v>14</v>
      </c>
      <c r="C95" t="s">
        <v>41</v>
      </c>
      <c r="D95" t="s">
        <v>44</v>
      </c>
      <c r="E95" t="s">
        <v>62</v>
      </c>
      <c r="F95">
        <v>3.41</v>
      </c>
    </row>
    <row r="96" spans="1:6" ht="15" customHeight="1" x14ac:dyDescent="0.2">
      <c r="A96" t="s">
        <v>69</v>
      </c>
      <c r="B96" t="s">
        <v>14</v>
      </c>
      <c r="C96" t="s">
        <v>38</v>
      </c>
      <c r="D96" t="s">
        <v>44</v>
      </c>
      <c r="E96" t="s">
        <v>63</v>
      </c>
      <c r="F96">
        <v>3.2</v>
      </c>
    </row>
    <row r="97" spans="1:6" ht="15" customHeight="1" x14ac:dyDescent="0.2">
      <c r="A97" t="s">
        <v>69</v>
      </c>
      <c r="B97" t="s">
        <v>14</v>
      </c>
      <c r="C97" t="s">
        <v>38</v>
      </c>
      <c r="D97" t="s">
        <v>44</v>
      </c>
      <c r="E97" t="s">
        <v>64</v>
      </c>
      <c r="F97">
        <v>0.9</v>
      </c>
    </row>
    <row r="98" spans="1:6" ht="15" customHeight="1" x14ac:dyDescent="0.2">
      <c r="A98" t="s">
        <v>69</v>
      </c>
      <c r="B98" t="s">
        <v>14</v>
      </c>
      <c r="C98" t="s">
        <v>39</v>
      </c>
      <c r="D98" t="s">
        <v>44</v>
      </c>
      <c r="E98" t="s">
        <v>63</v>
      </c>
      <c r="F98">
        <v>2.2000000000000002</v>
      </c>
    </row>
    <row r="99" spans="1:6" ht="15" customHeight="1" x14ac:dyDescent="0.2">
      <c r="A99" t="s">
        <v>69</v>
      </c>
      <c r="B99" t="s">
        <v>14</v>
      </c>
      <c r="C99" t="s">
        <v>39</v>
      </c>
      <c r="D99" t="s">
        <v>44</v>
      </c>
      <c r="E99" t="s">
        <v>64</v>
      </c>
      <c r="F99">
        <v>0.9</v>
      </c>
    </row>
    <row r="100" spans="1:6" ht="15" customHeight="1" x14ac:dyDescent="0.2">
      <c r="A100" t="s">
        <v>69</v>
      </c>
      <c r="B100" t="s">
        <v>14</v>
      </c>
      <c r="C100" t="s">
        <v>42</v>
      </c>
      <c r="D100" t="s">
        <v>44</v>
      </c>
      <c r="E100" t="s">
        <v>63</v>
      </c>
      <c r="F100">
        <v>4.5</v>
      </c>
    </row>
    <row r="101" spans="1:6" ht="15" customHeight="1" x14ac:dyDescent="0.2">
      <c r="A101" t="s">
        <v>69</v>
      </c>
      <c r="B101" t="s">
        <v>14</v>
      </c>
      <c r="C101" t="s">
        <v>40</v>
      </c>
      <c r="D101" t="s">
        <v>44</v>
      </c>
      <c r="E101" t="s">
        <v>63</v>
      </c>
      <c r="F101">
        <v>3.8</v>
      </c>
    </row>
    <row r="102" spans="1:6" ht="15" customHeight="1" x14ac:dyDescent="0.2">
      <c r="A102" t="s">
        <v>69</v>
      </c>
      <c r="B102" t="s">
        <v>14</v>
      </c>
      <c r="C102" t="s">
        <v>41</v>
      </c>
      <c r="D102" t="s">
        <v>44</v>
      </c>
      <c r="E102" t="s">
        <v>63</v>
      </c>
      <c r="F102">
        <v>4.2</v>
      </c>
    </row>
    <row r="103" spans="1:6" ht="15" customHeight="1" x14ac:dyDescent="0.2">
      <c r="A103" t="s">
        <v>69</v>
      </c>
      <c r="B103" t="s">
        <v>14</v>
      </c>
      <c r="C103" t="s">
        <v>38</v>
      </c>
      <c r="D103" t="s">
        <v>44</v>
      </c>
      <c r="E103" t="s">
        <v>61</v>
      </c>
      <c r="F103">
        <v>0.6</v>
      </c>
    </row>
    <row r="104" spans="1:6" ht="15" customHeight="1" x14ac:dyDescent="0.2">
      <c r="A104" t="s">
        <v>70</v>
      </c>
      <c r="B104" t="s">
        <v>15</v>
      </c>
      <c r="C104" t="s">
        <v>42</v>
      </c>
      <c r="D104" t="s">
        <v>45</v>
      </c>
      <c r="E104" t="s">
        <v>54</v>
      </c>
      <c r="F104">
        <v>57.4</v>
      </c>
    </row>
    <row r="105" spans="1:6" ht="15" customHeight="1" x14ac:dyDescent="0.2">
      <c r="A105" t="s">
        <v>70</v>
      </c>
      <c r="B105" t="s">
        <v>15</v>
      </c>
      <c r="C105" t="s">
        <v>42</v>
      </c>
      <c r="D105" t="s">
        <v>45</v>
      </c>
      <c r="E105" t="s">
        <v>55</v>
      </c>
      <c r="F105">
        <v>50.1</v>
      </c>
    </row>
    <row r="106" spans="1:6" ht="15" customHeight="1" x14ac:dyDescent="0.2">
      <c r="A106" t="s">
        <v>70</v>
      </c>
      <c r="B106" t="s">
        <v>15</v>
      </c>
      <c r="C106" t="s">
        <v>42</v>
      </c>
      <c r="D106" t="s">
        <v>45</v>
      </c>
      <c r="E106" t="s">
        <v>56</v>
      </c>
      <c r="F106">
        <v>18.91</v>
      </c>
    </row>
    <row r="107" spans="1:6" ht="15" customHeight="1" x14ac:dyDescent="0.2">
      <c r="A107" t="s">
        <v>70</v>
      </c>
      <c r="B107" t="s">
        <v>15</v>
      </c>
      <c r="C107" t="s">
        <v>40</v>
      </c>
      <c r="D107" t="s">
        <v>44</v>
      </c>
      <c r="E107" t="s">
        <v>57</v>
      </c>
      <c r="F107">
        <v>19.34</v>
      </c>
    </row>
    <row r="108" spans="1:6" ht="15" customHeight="1" x14ac:dyDescent="0.2">
      <c r="A108" t="s">
        <v>70</v>
      </c>
      <c r="B108" t="s">
        <v>15</v>
      </c>
      <c r="C108" t="s">
        <v>40</v>
      </c>
      <c r="D108" t="s">
        <v>44</v>
      </c>
      <c r="E108" t="s">
        <v>58</v>
      </c>
      <c r="F108">
        <v>0.56999999999999995</v>
      </c>
    </row>
    <row r="109" spans="1:6" ht="15" customHeight="1" x14ac:dyDescent="0.2">
      <c r="A109" t="s">
        <v>70</v>
      </c>
      <c r="B109" t="s">
        <v>15</v>
      </c>
      <c r="C109" t="s">
        <v>42</v>
      </c>
      <c r="D109" t="s">
        <v>44</v>
      </c>
      <c r="E109" t="s">
        <v>59</v>
      </c>
      <c r="F109">
        <v>11.77</v>
      </c>
    </row>
    <row r="110" spans="1:6" ht="15" customHeight="1" x14ac:dyDescent="0.2">
      <c r="A110" t="s">
        <v>70</v>
      </c>
      <c r="B110" t="s">
        <v>15</v>
      </c>
      <c r="C110" t="s">
        <v>41</v>
      </c>
      <c r="D110" t="s">
        <v>44</v>
      </c>
      <c r="E110" t="s">
        <v>60</v>
      </c>
      <c r="F110">
        <v>6.17</v>
      </c>
    </row>
    <row r="111" spans="1:6" ht="15" customHeight="1" x14ac:dyDescent="0.2">
      <c r="A111" t="s">
        <v>70</v>
      </c>
      <c r="B111" t="s">
        <v>15</v>
      </c>
      <c r="C111" t="s">
        <v>41</v>
      </c>
      <c r="D111" t="s">
        <v>44</v>
      </c>
      <c r="E111" t="s">
        <v>61</v>
      </c>
      <c r="F111">
        <v>0.6</v>
      </c>
    </row>
    <row r="112" spans="1:6" ht="15" customHeight="1" x14ac:dyDescent="0.2">
      <c r="A112" t="s">
        <v>70</v>
      </c>
      <c r="B112" t="s">
        <v>15</v>
      </c>
      <c r="C112" t="s">
        <v>41</v>
      </c>
      <c r="D112" t="s">
        <v>44</v>
      </c>
      <c r="E112" t="s">
        <v>62</v>
      </c>
      <c r="F112">
        <v>3.64</v>
      </c>
    </row>
    <row r="113" spans="1:6" ht="15" customHeight="1" x14ac:dyDescent="0.2">
      <c r="A113" t="s">
        <v>70</v>
      </c>
      <c r="B113" t="s">
        <v>15</v>
      </c>
      <c r="C113" t="s">
        <v>38</v>
      </c>
      <c r="D113" t="s">
        <v>44</v>
      </c>
      <c r="E113" t="s">
        <v>63</v>
      </c>
      <c r="F113">
        <v>3.2</v>
      </c>
    </row>
    <row r="114" spans="1:6" ht="15" customHeight="1" x14ac:dyDescent="0.2">
      <c r="A114" t="s">
        <v>70</v>
      </c>
      <c r="B114" t="s">
        <v>15</v>
      </c>
      <c r="C114" t="s">
        <v>38</v>
      </c>
      <c r="D114" t="s">
        <v>44</v>
      </c>
      <c r="E114" t="s">
        <v>64</v>
      </c>
      <c r="F114">
        <v>0.9</v>
      </c>
    </row>
    <row r="115" spans="1:6" ht="15" customHeight="1" x14ac:dyDescent="0.2">
      <c r="A115" t="s">
        <v>70</v>
      </c>
      <c r="B115" t="s">
        <v>15</v>
      </c>
      <c r="C115" t="s">
        <v>39</v>
      </c>
      <c r="D115" t="s">
        <v>44</v>
      </c>
      <c r="E115" t="s">
        <v>63</v>
      </c>
      <c r="F115">
        <v>2.2000000000000002</v>
      </c>
    </row>
    <row r="116" spans="1:6" ht="15" customHeight="1" x14ac:dyDescent="0.2">
      <c r="A116" t="s">
        <v>70</v>
      </c>
      <c r="B116" t="s">
        <v>15</v>
      </c>
      <c r="C116" t="s">
        <v>39</v>
      </c>
      <c r="D116" t="s">
        <v>44</v>
      </c>
      <c r="E116" t="s">
        <v>64</v>
      </c>
      <c r="F116">
        <v>0.9</v>
      </c>
    </row>
    <row r="117" spans="1:6" ht="15" customHeight="1" x14ac:dyDescent="0.2">
      <c r="A117" t="s">
        <v>70</v>
      </c>
      <c r="B117" t="s">
        <v>15</v>
      </c>
      <c r="C117" t="s">
        <v>42</v>
      </c>
      <c r="D117" t="s">
        <v>44</v>
      </c>
      <c r="E117" t="s">
        <v>63</v>
      </c>
      <c r="F117">
        <v>4.5</v>
      </c>
    </row>
    <row r="118" spans="1:6" ht="15" customHeight="1" x14ac:dyDescent="0.2">
      <c r="A118" t="s">
        <v>70</v>
      </c>
      <c r="B118" t="s">
        <v>15</v>
      </c>
      <c r="C118" t="s">
        <v>40</v>
      </c>
      <c r="D118" t="s">
        <v>44</v>
      </c>
      <c r="E118" t="s">
        <v>63</v>
      </c>
      <c r="F118">
        <v>3.8</v>
      </c>
    </row>
    <row r="119" spans="1:6" ht="15" customHeight="1" x14ac:dyDescent="0.2">
      <c r="A119" t="s">
        <v>70</v>
      </c>
      <c r="B119" t="s">
        <v>15</v>
      </c>
      <c r="C119" t="s">
        <v>41</v>
      </c>
      <c r="D119" t="s">
        <v>44</v>
      </c>
      <c r="E119" t="s">
        <v>63</v>
      </c>
      <c r="F119">
        <v>4.2</v>
      </c>
    </row>
    <row r="120" spans="1:6" ht="15" customHeight="1" x14ac:dyDescent="0.2">
      <c r="A120" t="s">
        <v>70</v>
      </c>
      <c r="B120" t="s">
        <v>15</v>
      </c>
      <c r="C120" t="s">
        <v>38</v>
      </c>
      <c r="D120" t="s">
        <v>44</v>
      </c>
      <c r="E120" t="s">
        <v>61</v>
      </c>
      <c r="F120">
        <v>0.6</v>
      </c>
    </row>
    <row r="121" spans="1:6" ht="15" customHeight="1" x14ac:dyDescent="0.2">
      <c r="A121" t="s">
        <v>71</v>
      </c>
      <c r="B121" t="s">
        <v>16</v>
      </c>
      <c r="C121" t="s">
        <v>42</v>
      </c>
      <c r="D121" t="s">
        <v>45</v>
      </c>
      <c r="E121" t="s">
        <v>54</v>
      </c>
      <c r="F121">
        <v>60.25</v>
      </c>
    </row>
    <row r="122" spans="1:6" ht="15" customHeight="1" x14ac:dyDescent="0.2">
      <c r="A122" t="s">
        <v>71</v>
      </c>
      <c r="B122" t="s">
        <v>16</v>
      </c>
      <c r="C122" t="s">
        <v>42</v>
      </c>
      <c r="D122" t="s">
        <v>45</v>
      </c>
      <c r="E122" t="s">
        <v>55</v>
      </c>
      <c r="F122">
        <v>56.42</v>
      </c>
    </row>
    <row r="123" spans="1:6" ht="15" customHeight="1" x14ac:dyDescent="0.2">
      <c r="A123" t="s">
        <v>71</v>
      </c>
      <c r="B123" t="s">
        <v>16</v>
      </c>
      <c r="C123" t="s">
        <v>42</v>
      </c>
      <c r="D123" t="s">
        <v>45</v>
      </c>
      <c r="E123" t="s">
        <v>56</v>
      </c>
      <c r="F123">
        <v>19.72</v>
      </c>
    </row>
    <row r="124" spans="1:6" ht="15" customHeight="1" x14ac:dyDescent="0.2">
      <c r="A124" t="s">
        <v>71</v>
      </c>
      <c r="B124" t="s">
        <v>16</v>
      </c>
      <c r="C124" t="s">
        <v>40</v>
      </c>
      <c r="D124" t="s">
        <v>44</v>
      </c>
      <c r="E124" t="s">
        <v>57</v>
      </c>
      <c r="F124">
        <v>21.23</v>
      </c>
    </row>
    <row r="125" spans="1:6" ht="15" customHeight="1" x14ac:dyDescent="0.2">
      <c r="A125" t="s">
        <v>71</v>
      </c>
      <c r="B125" t="s">
        <v>16</v>
      </c>
      <c r="C125" t="s">
        <v>40</v>
      </c>
      <c r="D125" t="s">
        <v>44</v>
      </c>
      <c r="E125" t="s">
        <v>58</v>
      </c>
      <c r="F125">
        <v>0.82</v>
      </c>
    </row>
    <row r="126" spans="1:6" ht="15" customHeight="1" x14ac:dyDescent="0.2">
      <c r="A126" t="s">
        <v>71</v>
      </c>
      <c r="B126" t="s">
        <v>16</v>
      </c>
      <c r="C126" t="s">
        <v>42</v>
      </c>
      <c r="D126" t="s">
        <v>44</v>
      </c>
      <c r="E126" t="s">
        <v>59</v>
      </c>
      <c r="F126">
        <v>12.59</v>
      </c>
    </row>
    <row r="127" spans="1:6" ht="15" customHeight="1" x14ac:dyDescent="0.2">
      <c r="A127" t="s">
        <v>71</v>
      </c>
      <c r="B127" t="s">
        <v>16</v>
      </c>
      <c r="C127" t="s">
        <v>41</v>
      </c>
      <c r="D127" t="s">
        <v>44</v>
      </c>
      <c r="E127" t="s">
        <v>60</v>
      </c>
      <c r="F127">
        <v>6.66</v>
      </c>
    </row>
    <row r="128" spans="1:6" ht="15" customHeight="1" x14ac:dyDescent="0.2">
      <c r="A128" t="s">
        <v>71</v>
      </c>
      <c r="B128" t="s">
        <v>16</v>
      </c>
      <c r="C128" t="s">
        <v>41</v>
      </c>
      <c r="D128" t="s">
        <v>44</v>
      </c>
      <c r="E128" t="s">
        <v>61</v>
      </c>
      <c r="F128">
        <v>0.6</v>
      </c>
    </row>
    <row r="129" spans="1:6" ht="15" customHeight="1" x14ac:dyDescent="0.2">
      <c r="A129" t="s">
        <v>71</v>
      </c>
      <c r="B129" t="s">
        <v>16</v>
      </c>
      <c r="C129" t="s">
        <v>41</v>
      </c>
      <c r="D129" t="s">
        <v>44</v>
      </c>
      <c r="E129" t="s">
        <v>62</v>
      </c>
      <c r="F129">
        <v>4.09</v>
      </c>
    </row>
    <row r="130" spans="1:6" ht="15" customHeight="1" x14ac:dyDescent="0.2">
      <c r="A130" t="s">
        <v>71</v>
      </c>
      <c r="B130" t="s">
        <v>16</v>
      </c>
      <c r="C130" t="s">
        <v>38</v>
      </c>
      <c r="D130" t="s">
        <v>44</v>
      </c>
      <c r="E130" t="s">
        <v>63</v>
      </c>
      <c r="F130">
        <v>3.2</v>
      </c>
    </row>
    <row r="131" spans="1:6" ht="15" customHeight="1" x14ac:dyDescent="0.2">
      <c r="A131" t="s">
        <v>71</v>
      </c>
      <c r="B131" t="s">
        <v>16</v>
      </c>
      <c r="C131" t="s">
        <v>38</v>
      </c>
      <c r="D131" t="s">
        <v>44</v>
      </c>
      <c r="E131" t="s">
        <v>64</v>
      </c>
      <c r="F131">
        <v>0.9</v>
      </c>
    </row>
    <row r="132" spans="1:6" ht="15" customHeight="1" x14ac:dyDescent="0.2">
      <c r="A132" t="s">
        <v>71</v>
      </c>
      <c r="B132" t="s">
        <v>16</v>
      </c>
      <c r="C132" t="s">
        <v>39</v>
      </c>
      <c r="D132" t="s">
        <v>44</v>
      </c>
      <c r="E132" t="s">
        <v>63</v>
      </c>
      <c r="F132">
        <v>2.2000000000000002</v>
      </c>
    </row>
    <row r="133" spans="1:6" ht="15" customHeight="1" x14ac:dyDescent="0.2">
      <c r="A133" t="s">
        <v>71</v>
      </c>
      <c r="B133" t="s">
        <v>16</v>
      </c>
      <c r="C133" t="s">
        <v>39</v>
      </c>
      <c r="D133" t="s">
        <v>44</v>
      </c>
      <c r="E133" t="s">
        <v>64</v>
      </c>
      <c r="F133">
        <v>0.9</v>
      </c>
    </row>
    <row r="134" spans="1:6" ht="15" customHeight="1" x14ac:dyDescent="0.2">
      <c r="A134" t="s">
        <v>71</v>
      </c>
      <c r="B134" t="s">
        <v>16</v>
      </c>
      <c r="C134" t="s">
        <v>42</v>
      </c>
      <c r="D134" t="s">
        <v>44</v>
      </c>
      <c r="E134" t="s">
        <v>63</v>
      </c>
      <c r="F134">
        <v>4.5</v>
      </c>
    </row>
    <row r="135" spans="1:6" ht="15" customHeight="1" x14ac:dyDescent="0.2">
      <c r="A135" t="s">
        <v>71</v>
      </c>
      <c r="B135" t="s">
        <v>16</v>
      </c>
      <c r="C135" t="s">
        <v>40</v>
      </c>
      <c r="D135" t="s">
        <v>44</v>
      </c>
      <c r="E135" t="s">
        <v>63</v>
      </c>
      <c r="F135">
        <v>3.8</v>
      </c>
    </row>
    <row r="136" spans="1:6" ht="15" customHeight="1" x14ac:dyDescent="0.2">
      <c r="A136" t="s">
        <v>71</v>
      </c>
      <c r="B136" t="s">
        <v>16</v>
      </c>
      <c r="C136" t="s">
        <v>41</v>
      </c>
      <c r="D136" t="s">
        <v>44</v>
      </c>
      <c r="E136" t="s">
        <v>63</v>
      </c>
      <c r="F136">
        <v>4.2</v>
      </c>
    </row>
    <row r="137" spans="1:6" ht="15" customHeight="1" x14ac:dyDescent="0.2">
      <c r="A137" t="s">
        <v>71</v>
      </c>
      <c r="B137" t="s">
        <v>16</v>
      </c>
      <c r="C137" t="s">
        <v>38</v>
      </c>
      <c r="D137" t="s">
        <v>44</v>
      </c>
      <c r="E137" t="s">
        <v>61</v>
      </c>
      <c r="F137">
        <v>0.6</v>
      </c>
    </row>
    <row r="138" spans="1:6" ht="15" customHeight="1" x14ac:dyDescent="0.2">
      <c r="A138" t="s">
        <v>72</v>
      </c>
      <c r="B138" t="s">
        <v>17</v>
      </c>
      <c r="C138" t="s">
        <v>42</v>
      </c>
      <c r="D138" t="s">
        <v>45</v>
      </c>
      <c r="E138" t="s">
        <v>54</v>
      </c>
      <c r="F138">
        <v>52.85</v>
      </c>
    </row>
    <row r="139" spans="1:6" ht="15" customHeight="1" x14ac:dyDescent="0.2">
      <c r="A139" t="s">
        <v>72</v>
      </c>
      <c r="B139" t="s">
        <v>17</v>
      </c>
      <c r="C139" t="s">
        <v>42</v>
      </c>
      <c r="D139" t="s">
        <v>45</v>
      </c>
      <c r="E139" t="s">
        <v>55</v>
      </c>
      <c r="F139">
        <v>47.09</v>
      </c>
    </row>
    <row r="140" spans="1:6" ht="15" customHeight="1" x14ac:dyDescent="0.2">
      <c r="A140" t="s">
        <v>72</v>
      </c>
      <c r="B140" t="s">
        <v>17</v>
      </c>
      <c r="C140" t="s">
        <v>42</v>
      </c>
      <c r="D140" t="s">
        <v>45</v>
      </c>
      <c r="E140" t="s">
        <v>56</v>
      </c>
      <c r="F140">
        <v>17.07</v>
      </c>
    </row>
    <row r="141" spans="1:6" ht="15" customHeight="1" x14ac:dyDescent="0.2">
      <c r="A141" t="s">
        <v>72</v>
      </c>
      <c r="B141" t="s">
        <v>17</v>
      </c>
      <c r="C141" t="s">
        <v>40</v>
      </c>
      <c r="D141" t="s">
        <v>44</v>
      </c>
      <c r="E141" t="s">
        <v>57</v>
      </c>
      <c r="F141">
        <v>8.99</v>
      </c>
    </row>
    <row r="142" spans="1:6" ht="15" customHeight="1" x14ac:dyDescent="0.2">
      <c r="A142" t="s">
        <v>72</v>
      </c>
      <c r="B142" t="s">
        <v>17</v>
      </c>
      <c r="C142" t="s">
        <v>40</v>
      </c>
      <c r="D142" t="s">
        <v>44</v>
      </c>
      <c r="E142" t="s">
        <v>58</v>
      </c>
      <c r="F142">
        <v>0.47</v>
      </c>
    </row>
    <row r="143" spans="1:6" ht="15" customHeight="1" x14ac:dyDescent="0.2">
      <c r="A143" t="s">
        <v>72</v>
      </c>
      <c r="B143" t="s">
        <v>17</v>
      </c>
      <c r="C143" t="s">
        <v>42</v>
      </c>
      <c r="D143" t="s">
        <v>44</v>
      </c>
      <c r="E143" t="s">
        <v>59</v>
      </c>
      <c r="F143">
        <v>11.89</v>
      </c>
    </row>
    <row r="144" spans="1:6" ht="15" customHeight="1" x14ac:dyDescent="0.2">
      <c r="A144" t="s">
        <v>72</v>
      </c>
      <c r="B144" t="s">
        <v>17</v>
      </c>
      <c r="C144" t="s">
        <v>41</v>
      </c>
      <c r="D144" t="s">
        <v>44</v>
      </c>
      <c r="E144" t="s">
        <v>60</v>
      </c>
      <c r="F144">
        <v>5.71</v>
      </c>
    </row>
    <row r="145" spans="1:6" ht="15" customHeight="1" x14ac:dyDescent="0.2">
      <c r="A145" t="s">
        <v>72</v>
      </c>
      <c r="B145" t="s">
        <v>17</v>
      </c>
      <c r="C145" t="s">
        <v>41</v>
      </c>
      <c r="D145" t="s">
        <v>44</v>
      </c>
      <c r="E145" t="s">
        <v>61</v>
      </c>
      <c r="F145">
        <v>0.6</v>
      </c>
    </row>
    <row r="146" spans="1:6" ht="15" customHeight="1" x14ac:dyDescent="0.2">
      <c r="A146" t="s">
        <v>72</v>
      </c>
      <c r="B146" t="s">
        <v>17</v>
      </c>
      <c r="C146" t="s">
        <v>41</v>
      </c>
      <c r="D146" t="s">
        <v>44</v>
      </c>
      <c r="E146" t="s">
        <v>62</v>
      </c>
      <c r="F146">
        <v>3.19</v>
      </c>
    </row>
    <row r="147" spans="1:6" ht="15" customHeight="1" x14ac:dyDescent="0.2">
      <c r="A147" t="s">
        <v>72</v>
      </c>
      <c r="B147" t="s">
        <v>17</v>
      </c>
      <c r="C147" t="s">
        <v>38</v>
      </c>
      <c r="D147" t="s">
        <v>44</v>
      </c>
      <c r="E147" t="s">
        <v>63</v>
      </c>
      <c r="F147">
        <v>3.2</v>
      </c>
    </row>
    <row r="148" spans="1:6" ht="15" customHeight="1" x14ac:dyDescent="0.2">
      <c r="A148" t="s">
        <v>72</v>
      </c>
      <c r="B148" t="s">
        <v>17</v>
      </c>
      <c r="C148" t="s">
        <v>38</v>
      </c>
      <c r="D148" t="s">
        <v>44</v>
      </c>
      <c r="E148" t="s">
        <v>64</v>
      </c>
      <c r="F148">
        <v>0.9</v>
      </c>
    </row>
    <row r="149" spans="1:6" ht="15" customHeight="1" x14ac:dyDescent="0.2">
      <c r="A149" t="s">
        <v>72</v>
      </c>
      <c r="B149" t="s">
        <v>17</v>
      </c>
      <c r="C149" t="s">
        <v>39</v>
      </c>
      <c r="D149" t="s">
        <v>44</v>
      </c>
      <c r="E149" t="s">
        <v>63</v>
      </c>
      <c r="F149">
        <v>2.2000000000000002</v>
      </c>
    </row>
    <row r="150" spans="1:6" ht="15" customHeight="1" x14ac:dyDescent="0.2">
      <c r="A150" t="s">
        <v>72</v>
      </c>
      <c r="B150" t="s">
        <v>17</v>
      </c>
      <c r="C150" t="s">
        <v>39</v>
      </c>
      <c r="D150" t="s">
        <v>44</v>
      </c>
      <c r="E150" t="s">
        <v>64</v>
      </c>
      <c r="F150">
        <v>0.9</v>
      </c>
    </row>
    <row r="151" spans="1:6" ht="15" customHeight="1" x14ac:dyDescent="0.2">
      <c r="A151" t="s">
        <v>72</v>
      </c>
      <c r="B151" t="s">
        <v>17</v>
      </c>
      <c r="C151" t="s">
        <v>42</v>
      </c>
      <c r="D151" t="s">
        <v>44</v>
      </c>
      <c r="E151" t="s">
        <v>63</v>
      </c>
      <c r="F151">
        <v>4.5</v>
      </c>
    </row>
    <row r="152" spans="1:6" ht="15" customHeight="1" x14ac:dyDescent="0.2">
      <c r="A152" t="s">
        <v>72</v>
      </c>
      <c r="B152" t="s">
        <v>17</v>
      </c>
      <c r="C152" t="s">
        <v>40</v>
      </c>
      <c r="D152" t="s">
        <v>44</v>
      </c>
      <c r="E152" t="s">
        <v>63</v>
      </c>
      <c r="F152">
        <v>3.8</v>
      </c>
    </row>
    <row r="153" spans="1:6" ht="15" customHeight="1" x14ac:dyDescent="0.2">
      <c r="A153" t="s">
        <v>72</v>
      </c>
      <c r="B153" t="s">
        <v>17</v>
      </c>
      <c r="C153" t="s">
        <v>41</v>
      </c>
      <c r="D153" t="s">
        <v>44</v>
      </c>
      <c r="E153" t="s">
        <v>63</v>
      </c>
      <c r="F153">
        <v>4.2</v>
      </c>
    </row>
    <row r="154" spans="1:6" ht="15" customHeight="1" x14ac:dyDescent="0.2">
      <c r="A154" t="s">
        <v>72</v>
      </c>
      <c r="B154" t="s">
        <v>17</v>
      </c>
      <c r="C154" t="s">
        <v>38</v>
      </c>
      <c r="D154" t="s">
        <v>44</v>
      </c>
      <c r="E154" t="s">
        <v>61</v>
      </c>
      <c r="F154">
        <v>0.6</v>
      </c>
    </row>
    <row r="155" spans="1:6" ht="15" customHeight="1" x14ac:dyDescent="0.2">
      <c r="A155" t="s">
        <v>73</v>
      </c>
      <c r="B155" t="s">
        <v>18</v>
      </c>
      <c r="C155" t="s">
        <v>42</v>
      </c>
      <c r="D155" t="s">
        <v>45</v>
      </c>
      <c r="E155" t="s">
        <v>54</v>
      </c>
      <c r="F155">
        <v>39.380000000000003</v>
      </c>
    </row>
    <row r="156" spans="1:6" ht="15" customHeight="1" x14ac:dyDescent="0.2">
      <c r="A156" t="s">
        <v>73</v>
      </c>
      <c r="B156" t="s">
        <v>18</v>
      </c>
      <c r="C156" t="s">
        <v>42</v>
      </c>
      <c r="D156" t="s">
        <v>45</v>
      </c>
      <c r="E156" t="s">
        <v>55</v>
      </c>
      <c r="F156">
        <v>36.54</v>
      </c>
    </row>
    <row r="157" spans="1:6" ht="15" customHeight="1" x14ac:dyDescent="0.2">
      <c r="A157" t="s">
        <v>73</v>
      </c>
      <c r="B157" t="s">
        <v>18</v>
      </c>
      <c r="C157" t="s">
        <v>42</v>
      </c>
      <c r="D157" t="s">
        <v>45</v>
      </c>
      <c r="E157" t="s">
        <v>56</v>
      </c>
      <c r="F157">
        <v>13.56</v>
      </c>
    </row>
    <row r="158" spans="1:6" ht="15" customHeight="1" x14ac:dyDescent="0.2">
      <c r="A158" t="s">
        <v>73</v>
      </c>
      <c r="B158" t="s">
        <v>18</v>
      </c>
      <c r="C158" t="s">
        <v>40</v>
      </c>
      <c r="D158" t="s">
        <v>44</v>
      </c>
      <c r="E158" t="s">
        <v>57</v>
      </c>
      <c r="F158">
        <v>7.45</v>
      </c>
    </row>
    <row r="159" spans="1:6" ht="15" customHeight="1" x14ac:dyDescent="0.2">
      <c r="A159" t="s">
        <v>73</v>
      </c>
      <c r="B159" t="s">
        <v>18</v>
      </c>
      <c r="C159" t="s">
        <v>40</v>
      </c>
      <c r="D159" t="s">
        <v>44</v>
      </c>
      <c r="E159" t="s">
        <v>58</v>
      </c>
      <c r="F159">
        <v>0.64</v>
      </c>
    </row>
    <row r="160" spans="1:6" ht="15" customHeight="1" x14ac:dyDescent="0.2">
      <c r="A160" t="s">
        <v>73</v>
      </c>
      <c r="B160" t="s">
        <v>18</v>
      </c>
      <c r="C160" t="s">
        <v>42</v>
      </c>
      <c r="D160" t="s">
        <v>44</v>
      </c>
      <c r="E160" t="s">
        <v>59</v>
      </c>
      <c r="F160">
        <v>8.85</v>
      </c>
    </row>
    <row r="161" spans="1:6" ht="15" customHeight="1" x14ac:dyDescent="0.2">
      <c r="A161" t="s">
        <v>73</v>
      </c>
      <c r="B161" t="s">
        <v>18</v>
      </c>
      <c r="C161" t="s">
        <v>41</v>
      </c>
      <c r="D161" t="s">
        <v>44</v>
      </c>
      <c r="E161" t="s">
        <v>60</v>
      </c>
      <c r="F161">
        <v>4.53</v>
      </c>
    </row>
    <row r="162" spans="1:6" ht="15" customHeight="1" x14ac:dyDescent="0.2">
      <c r="A162" t="s">
        <v>73</v>
      </c>
      <c r="B162" t="s">
        <v>18</v>
      </c>
      <c r="C162" t="s">
        <v>41</v>
      </c>
      <c r="D162" t="s">
        <v>44</v>
      </c>
      <c r="E162" t="s">
        <v>61</v>
      </c>
      <c r="F162">
        <v>0.6</v>
      </c>
    </row>
    <row r="163" spans="1:6" ht="15" customHeight="1" x14ac:dyDescent="0.2">
      <c r="A163" t="s">
        <v>73</v>
      </c>
      <c r="B163" t="s">
        <v>18</v>
      </c>
      <c r="C163" t="s">
        <v>41</v>
      </c>
      <c r="D163" t="s">
        <v>44</v>
      </c>
      <c r="E163" t="s">
        <v>62</v>
      </c>
      <c r="F163">
        <v>2.8</v>
      </c>
    </row>
    <row r="164" spans="1:6" ht="15" customHeight="1" x14ac:dyDescent="0.2">
      <c r="A164" t="s">
        <v>73</v>
      </c>
      <c r="B164" t="s">
        <v>18</v>
      </c>
      <c r="C164" t="s">
        <v>38</v>
      </c>
      <c r="D164" t="s">
        <v>44</v>
      </c>
      <c r="E164" t="s">
        <v>63</v>
      </c>
      <c r="F164">
        <v>3.2</v>
      </c>
    </row>
    <row r="165" spans="1:6" ht="15" customHeight="1" x14ac:dyDescent="0.2">
      <c r="A165" t="s">
        <v>73</v>
      </c>
      <c r="B165" t="s">
        <v>18</v>
      </c>
      <c r="C165" t="s">
        <v>38</v>
      </c>
      <c r="D165" t="s">
        <v>44</v>
      </c>
      <c r="E165" t="s">
        <v>64</v>
      </c>
      <c r="F165">
        <v>0.9</v>
      </c>
    </row>
    <row r="166" spans="1:6" ht="15" customHeight="1" x14ac:dyDescent="0.2">
      <c r="A166" t="s">
        <v>73</v>
      </c>
      <c r="B166" t="s">
        <v>18</v>
      </c>
      <c r="C166" t="s">
        <v>39</v>
      </c>
      <c r="D166" t="s">
        <v>44</v>
      </c>
      <c r="E166" t="s">
        <v>63</v>
      </c>
      <c r="F166">
        <v>2.2000000000000002</v>
      </c>
    </row>
    <row r="167" spans="1:6" ht="15" customHeight="1" x14ac:dyDescent="0.2">
      <c r="A167" t="s">
        <v>73</v>
      </c>
      <c r="B167" t="s">
        <v>18</v>
      </c>
      <c r="C167" t="s">
        <v>39</v>
      </c>
      <c r="D167" t="s">
        <v>44</v>
      </c>
      <c r="E167" t="s">
        <v>64</v>
      </c>
      <c r="F167">
        <v>0.9</v>
      </c>
    </row>
    <row r="168" spans="1:6" ht="15" customHeight="1" x14ac:dyDescent="0.2">
      <c r="A168" t="s">
        <v>73</v>
      </c>
      <c r="B168" t="s">
        <v>18</v>
      </c>
      <c r="C168" t="s">
        <v>42</v>
      </c>
      <c r="D168" t="s">
        <v>44</v>
      </c>
      <c r="E168" t="s">
        <v>63</v>
      </c>
      <c r="F168">
        <v>4.5</v>
      </c>
    </row>
    <row r="169" spans="1:6" ht="15" customHeight="1" x14ac:dyDescent="0.2">
      <c r="A169" t="s">
        <v>73</v>
      </c>
      <c r="B169" t="s">
        <v>18</v>
      </c>
      <c r="C169" t="s">
        <v>40</v>
      </c>
      <c r="D169" t="s">
        <v>44</v>
      </c>
      <c r="E169" t="s">
        <v>63</v>
      </c>
      <c r="F169">
        <v>3.8</v>
      </c>
    </row>
    <row r="170" spans="1:6" ht="15" customHeight="1" x14ac:dyDescent="0.2">
      <c r="A170" t="s">
        <v>73</v>
      </c>
      <c r="B170" t="s">
        <v>18</v>
      </c>
      <c r="C170" t="s">
        <v>41</v>
      </c>
      <c r="D170" t="s">
        <v>44</v>
      </c>
      <c r="E170" t="s">
        <v>63</v>
      </c>
      <c r="F170">
        <v>4.2</v>
      </c>
    </row>
    <row r="171" spans="1:6" ht="15" customHeight="1" x14ac:dyDescent="0.2">
      <c r="A171" t="s">
        <v>73</v>
      </c>
      <c r="B171" t="s">
        <v>18</v>
      </c>
      <c r="C171" t="s">
        <v>38</v>
      </c>
      <c r="D171" t="s">
        <v>44</v>
      </c>
      <c r="E171" t="s">
        <v>61</v>
      </c>
      <c r="F171">
        <v>0.6</v>
      </c>
    </row>
    <row r="172" spans="1:6" ht="15" customHeight="1" x14ac:dyDescent="0.2">
      <c r="A172" t="s">
        <v>74</v>
      </c>
      <c r="B172" t="s">
        <v>19</v>
      </c>
      <c r="C172" t="s">
        <v>42</v>
      </c>
      <c r="D172" t="s">
        <v>45</v>
      </c>
      <c r="E172" t="s">
        <v>54</v>
      </c>
      <c r="F172">
        <v>41.97</v>
      </c>
    </row>
    <row r="173" spans="1:6" ht="15" customHeight="1" x14ac:dyDescent="0.2">
      <c r="A173" t="s">
        <v>74</v>
      </c>
      <c r="B173" t="s">
        <v>19</v>
      </c>
      <c r="C173" t="s">
        <v>42</v>
      </c>
      <c r="D173" t="s">
        <v>45</v>
      </c>
      <c r="E173" t="s">
        <v>55</v>
      </c>
      <c r="F173">
        <v>36.07</v>
      </c>
    </row>
    <row r="174" spans="1:6" ht="15" customHeight="1" x14ac:dyDescent="0.2">
      <c r="A174" t="s">
        <v>74</v>
      </c>
      <c r="B174" t="s">
        <v>19</v>
      </c>
      <c r="C174" t="s">
        <v>42</v>
      </c>
      <c r="D174" t="s">
        <v>45</v>
      </c>
      <c r="E174" t="s">
        <v>56</v>
      </c>
      <c r="F174">
        <v>13.65</v>
      </c>
    </row>
    <row r="175" spans="1:6" ht="15" customHeight="1" x14ac:dyDescent="0.2">
      <c r="A175" t="s">
        <v>74</v>
      </c>
      <c r="B175" t="s">
        <v>19</v>
      </c>
      <c r="C175" t="s">
        <v>40</v>
      </c>
      <c r="D175" t="s">
        <v>44</v>
      </c>
      <c r="E175" t="s">
        <v>57</v>
      </c>
      <c r="F175">
        <v>7.22</v>
      </c>
    </row>
    <row r="176" spans="1:6" ht="15" customHeight="1" x14ac:dyDescent="0.2">
      <c r="A176" t="s">
        <v>74</v>
      </c>
      <c r="B176" t="s">
        <v>19</v>
      </c>
      <c r="C176" t="s">
        <v>40</v>
      </c>
      <c r="D176" t="s">
        <v>44</v>
      </c>
      <c r="E176" t="s">
        <v>58</v>
      </c>
      <c r="F176">
        <v>0.7</v>
      </c>
    </row>
    <row r="177" spans="1:6" ht="15" customHeight="1" x14ac:dyDescent="0.2">
      <c r="A177" t="s">
        <v>74</v>
      </c>
      <c r="B177" t="s">
        <v>19</v>
      </c>
      <c r="C177" t="s">
        <v>42</v>
      </c>
      <c r="D177" t="s">
        <v>44</v>
      </c>
      <c r="E177" t="s">
        <v>59</v>
      </c>
      <c r="F177">
        <v>8.76</v>
      </c>
    </row>
    <row r="178" spans="1:6" ht="15" customHeight="1" x14ac:dyDescent="0.2">
      <c r="A178" t="s">
        <v>74</v>
      </c>
      <c r="B178" t="s">
        <v>19</v>
      </c>
      <c r="C178" t="s">
        <v>41</v>
      </c>
      <c r="D178" t="s">
        <v>44</v>
      </c>
      <c r="E178" t="s">
        <v>60</v>
      </c>
      <c r="F178">
        <v>4.6900000000000004</v>
      </c>
    </row>
    <row r="179" spans="1:6" ht="15" customHeight="1" x14ac:dyDescent="0.2">
      <c r="A179" t="s">
        <v>74</v>
      </c>
      <c r="B179" t="s">
        <v>19</v>
      </c>
      <c r="C179" t="s">
        <v>41</v>
      </c>
      <c r="D179" t="s">
        <v>44</v>
      </c>
      <c r="E179" t="s">
        <v>61</v>
      </c>
      <c r="F179">
        <v>0.6</v>
      </c>
    </row>
    <row r="180" spans="1:6" ht="15" customHeight="1" x14ac:dyDescent="0.2">
      <c r="A180" t="s">
        <v>74</v>
      </c>
      <c r="B180" t="s">
        <v>19</v>
      </c>
      <c r="C180" t="s">
        <v>41</v>
      </c>
      <c r="D180" t="s">
        <v>44</v>
      </c>
      <c r="E180" t="s">
        <v>62</v>
      </c>
      <c r="F180">
        <v>2.68</v>
      </c>
    </row>
    <row r="181" spans="1:6" ht="15" customHeight="1" x14ac:dyDescent="0.2">
      <c r="A181" t="s">
        <v>74</v>
      </c>
      <c r="B181" t="s">
        <v>19</v>
      </c>
      <c r="C181" t="s">
        <v>38</v>
      </c>
      <c r="D181" t="s">
        <v>44</v>
      </c>
      <c r="E181" t="s">
        <v>63</v>
      </c>
      <c r="F181">
        <v>3.2</v>
      </c>
    </row>
    <row r="182" spans="1:6" ht="15" customHeight="1" x14ac:dyDescent="0.2">
      <c r="A182" t="s">
        <v>74</v>
      </c>
      <c r="B182" t="s">
        <v>19</v>
      </c>
      <c r="C182" t="s">
        <v>38</v>
      </c>
      <c r="D182" t="s">
        <v>44</v>
      </c>
      <c r="E182" t="s">
        <v>64</v>
      </c>
      <c r="F182">
        <v>0.9</v>
      </c>
    </row>
    <row r="183" spans="1:6" ht="15" customHeight="1" x14ac:dyDescent="0.2">
      <c r="A183" t="s">
        <v>74</v>
      </c>
      <c r="B183" t="s">
        <v>19</v>
      </c>
      <c r="C183" t="s">
        <v>39</v>
      </c>
      <c r="D183" t="s">
        <v>44</v>
      </c>
      <c r="E183" t="s">
        <v>63</v>
      </c>
      <c r="F183">
        <v>2.2000000000000002</v>
      </c>
    </row>
    <row r="184" spans="1:6" ht="15" customHeight="1" x14ac:dyDescent="0.2">
      <c r="A184" t="s">
        <v>74</v>
      </c>
      <c r="B184" t="s">
        <v>19</v>
      </c>
      <c r="C184" t="s">
        <v>39</v>
      </c>
      <c r="D184" t="s">
        <v>44</v>
      </c>
      <c r="E184" t="s">
        <v>64</v>
      </c>
      <c r="F184">
        <v>0.9</v>
      </c>
    </row>
    <row r="185" spans="1:6" ht="15" customHeight="1" x14ac:dyDescent="0.2">
      <c r="A185" t="s">
        <v>74</v>
      </c>
      <c r="B185" t="s">
        <v>19</v>
      </c>
      <c r="C185" t="s">
        <v>42</v>
      </c>
      <c r="D185" t="s">
        <v>44</v>
      </c>
      <c r="E185" t="s">
        <v>63</v>
      </c>
      <c r="F185">
        <v>4.5</v>
      </c>
    </row>
    <row r="186" spans="1:6" ht="15" customHeight="1" x14ac:dyDescent="0.2">
      <c r="A186" t="s">
        <v>74</v>
      </c>
      <c r="B186" t="s">
        <v>19</v>
      </c>
      <c r="C186" t="s">
        <v>40</v>
      </c>
      <c r="D186" t="s">
        <v>44</v>
      </c>
      <c r="E186" t="s">
        <v>63</v>
      </c>
      <c r="F186">
        <v>3.8</v>
      </c>
    </row>
    <row r="187" spans="1:6" ht="15" customHeight="1" x14ac:dyDescent="0.2">
      <c r="A187" t="s">
        <v>74</v>
      </c>
      <c r="B187" t="s">
        <v>19</v>
      </c>
      <c r="C187" t="s">
        <v>41</v>
      </c>
      <c r="D187" t="s">
        <v>44</v>
      </c>
      <c r="E187" t="s">
        <v>63</v>
      </c>
      <c r="F187">
        <v>4.2</v>
      </c>
    </row>
    <row r="188" spans="1:6" ht="15" customHeight="1" x14ac:dyDescent="0.2">
      <c r="A188" t="s">
        <v>74</v>
      </c>
      <c r="B188" t="s">
        <v>19</v>
      </c>
      <c r="C188" t="s">
        <v>38</v>
      </c>
      <c r="D188" t="s">
        <v>44</v>
      </c>
      <c r="E188" t="s">
        <v>61</v>
      </c>
      <c r="F188">
        <v>0.6</v>
      </c>
    </row>
    <row r="189" spans="1:6" ht="15" customHeight="1" x14ac:dyDescent="0.2">
      <c r="A189" t="s">
        <v>75</v>
      </c>
      <c r="B189" t="s">
        <v>20</v>
      </c>
      <c r="C189" t="s">
        <v>42</v>
      </c>
      <c r="D189" t="s">
        <v>45</v>
      </c>
      <c r="E189" t="s">
        <v>54</v>
      </c>
      <c r="F189">
        <v>45.65</v>
      </c>
    </row>
    <row r="190" spans="1:6" ht="15" customHeight="1" x14ac:dyDescent="0.2">
      <c r="A190" t="s">
        <v>75</v>
      </c>
      <c r="B190" t="s">
        <v>20</v>
      </c>
      <c r="C190" t="s">
        <v>42</v>
      </c>
      <c r="D190" t="s">
        <v>45</v>
      </c>
      <c r="E190" t="s">
        <v>55</v>
      </c>
      <c r="F190">
        <v>40.54</v>
      </c>
    </row>
    <row r="191" spans="1:6" ht="15" customHeight="1" x14ac:dyDescent="0.2">
      <c r="A191" t="s">
        <v>75</v>
      </c>
      <c r="B191" t="s">
        <v>20</v>
      </c>
      <c r="C191" t="s">
        <v>42</v>
      </c>
      <c r="D191" t="s">
        <v>45</v>
      </c>
      <c r="E191" t="s">
        <v>56</v>
      </c>
      <c r="F191">
        <v>15.3</v>
      </c>
    </row>
    <row r="192" spans="1:6" ht="15" customHeight="1" x14ac:dyDescent="0.2">
      <c r="A192" t="s">
        <v>75</v>
      </c>
      <c r="B192" t="s">
        <v>20</v>
      </c>
      <c r="C192" t="s">
        <v>40</v>
      </c>
      <c r="D192" t="s">
        <v>44</v>
      </c>
      <c r="E192" t="s">
        <v>57</v>
      </c>
      <c r="F192">
        <v>7.96</v>
      </c>
    </row>
    <row r="193" spans="1:6" ht="15" customHeight="1" x14ac:dyDescent="0.2">
      <c r="A193" t="s">
        <v>75</v>
      </c>
      <c r="B193" t="s">
        <v>20</v>
      </c>
      <c r="C193" t="s">
        <v>40</v>
      </c>
      <c r="D193" t="s">
        <v>44</v>
      </c>
      <c r="E193" t="s">
        <v>58</v>
      </c>
      <c r="F193">
        <v>0.41</v>
      </c>
    </row>
    <row r="194" spans="1:6" ht="15" customHeight="1" x14ac:dyDescent="0.2">
      <c r="A194" t="s">
        <v>75</v>
      </c>
      <c r="B194" t="s">
        <v>20</v>
      </c>
      <c r="C194" t="s">
        <v>42</v>
      </c>
      <c r="D194" t="s">
        <v>44</v>
      </c>
      <c r="E194" t="s">
        <v>59</v>
      </c>
      <c r="F194">
        <v>9.83</v>
      </c>
    </row>
    <row r="195" spans="1:6" ht="15" customHeight="1" x14ac:dyDescent="0.2">
      <c r="A195" t="s">
        <v>75</v>
      </c>
      <c r="B195" t="s">
        <v>20</v>
      </c>
      <c r="C195" t="s">
        <v>41</v>
      </c>
      <c r="D195" t="s">
        <v>44</v>
      </c>
      <c r="E195" t="s">
        <v>60</v>
      </c>
      <c r="F195">
        <v>4.9800000000000004</v>
      </c>
    </row>
    <row r="196" spans="1:6" ht="15" customHeight="1" x14ac:dyDescent="0.2">
      <c r="A196" t="s">
        <v>75</v>
      </c>
      <c r="B196" t="s">
        <v>20</v>
      </c>
      <c r="C196" t="s">
        <v>41</v>
      </c>
      <c r="D196" t="s">
        <v>44</v>
      </c>
      <c r="E196" t="s">
        <v>61</v>
      </c>
      <c r="F196">
        <v>0.6</v>
      </c>
    </row>
    <row r="197" spans="1:6" ht="15" customHeight="1" x14ac:dyDescent="0.2">
      <c r="A197" t="s">
        <v>75</v>
      </c>
      <c r="B197" t="s">
        <v>20</v>
      </c>
      <c r="C197" t="s">
        <v>41</v>
      </c>
      <c r="D197" t="s">
        <v>44</v>
      </c>
      <c r="E197" t="s">
        <v>62</v>
      </c>
      <c r="F197">
        <v>2.7</v>
      </c>
    </row>
    <row r="198" spans="1:6" ht="15" customHeight="1" x14ac:dyDescent="0.2">
      <c r="A198" t="s">
        <v>75</v>
      </c>
      <c r="B198" t="s">
        <v>20</v>
      </c>
      <c r="C198" t="s">
        <v>38</v>
      </c>
      <c r="D198" t="s">
        <v>44</v>
      </c>
      <c r="E198" t="s">
        <v>63</v>
      </c>
      <c r="F198">
        <v>3.2</v>
      </c>
    </row>
    <row r="199" spans="1:6" ht="15" customHeight="1" x14ac:dyDescent="0.2">
      <c r="A199" t="s">
        <v>75</v>
      </c>
      <c r="B199" t="s">
        <v>20</v>
      </c>
      <c r="C199" t="s">
        <v>38</v>
      </c>
      <c r="D199" t="s">
        <v>44</v>
      </c>
      <c r="E199" t="s">
        <v>64</v>
      </c>
      <c r="F199">
        <v>0.9</v>
      </c>
    </row>
    <row r="200" spans="1:6" ht="15" customHeight="1" x14ac:dyDescent="0.2">
      <c r="A200" t="s">
        <v>75</v>
      </c>
      <c r="B200" t="s">
        <v>20</v>
      </c>
      <c r="C200" t="s">
        <v>39</v>
      </c>
      <c r="D200" t="s">
        <v>44</v>
      </c>
      <c r="E200" t="s">
        <v>63</v>
      </c>
      <c r="F200">
        <v>2.2000000000000002</v>
      </c>
    </row>
    <row r="201" spans="1:6" ht="15" customHeight="1" x14ac:dyDescent="0.2">
      <c r="A201" t="s">
        <v>75</v>
      </c>
      <c r="B201" t="s">
        <v>20</v>
      </c>
      <c r="C201" t="s">
        <v>39</v>
      </c>
      <c r="D201" t="s">
        <v>44</v>
      </c>
      <c r="E201" t="s">
        <v>64</v>
      </c>
      <c r="F201">
        <v>0.9</v>
      </c>
    </row>
    <row r="202" spans="1:6" ht="15" customHeight="1" x14ac:dyDescent="0.2">
      <c r="A202" t="s">
        <v>75</v>
      </c>
      <c r="B202" t="s">
        <v>20</v>
      </c>
      <c r="C202" t="s">
        <v>42</v>
      </c>
      <c r="D202" t="s">
        <v>44</v>
      </c>
      <c r="E202" t="s">
        <v>63</v>
      </c>
      <c r="F202">
        <v>4.5</v>
      </c>
    </row>
    <row r="203" spans="1:6" ht="15" customHeight="1" x14ac:dyDescent="0.2">
      <c r="A203" t="s">
        <v>75</v>
      </c>
      <c r="B203" t="s">
        <v>20</v>
      </c>
      <c r="C203" t="s">
        <v>40</v>
      </c>
      <c r="D203" t="s">
        <v>44</v>
      </c>
      <c r="E203" t="s">
        <v>63</v>
      </c>
      <c r="F203">
        <v>3.8</v>
      </c>
    </row>
    <row r="204" spans="1:6" ht="15" customHeight="1" x14ac:dyDescent="0.2">
      <c r="A204" t="s">
        <v>75</v>
      </c>
      <c r="B204" t="s">
        <v>20</v>
      </c>
      <c r="C204" t="s">
        <v>41</v>
      </c>
      <c r="D204" t="s">
        <v>44</v>
      </c>
      <c r="E204" t="s">
        <v>63</v>
      </c>
      <c r="F204">
        <v>4.2</v>
      </c>
    </row>
    <row r="205" spans="1:6" ht="15" customHeight="1" x14ac:dyDescent="0.2">
      <c r="A205" t="s">
        <v>75</v>
      </c>
      <c r="B205" t="s">
        <v>20</v>
      </c>
      <c r="C205" t="s">
        <v>38</v>
      </c>
      <c r="D205" t="s">
        <v>44</v>
      </c>
      <c r="E205" t="s">
        <v>61</v>
      </c>
      <c r="F205">
        <v>0.6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3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cols>
    <col min="1" max="1" width="11.5" bestFit="1" customWidth="1"/>
    <col min="2" max="2" width="13" customWidth="1"/>
    <col min="3" max="3" width="21" customWidth="1"/>
    <col min="4" max="4" width="20.5" customWidth="1"/>
  </cols>
  <sheetData>
    <row r="1" spans="1:4" ht="15" customHeight="1" x14ac:dyDescent="0.2">
      <c r="A1" s="45" t="s">
        <v>22</v>
      </c>
      <c r="B1" s="45" t="s">
        <v>36</v>
      </c>
      <c r="C1" s="45" t="s">
        <v>76</v>
      </c>
      <c r="D1" s="45" t="s">
        <v>77</v>
      </c>
    </row>
    <row r="2" spans="1:4" ht="15" customHeight="1" x14ac:dyDescent="0.2">
      <c r="A2" t="s">
        <v>9</v>
      </c>
      <c r="B2" t="s">
        <v>42</v>
      </c>
      <c r="C2">
        <v>95</v>
      </c>
      <c r="D2">
        <v>0</v>
      </c>
    </row>
    <row r="3" spans="1:4" ht="15" customHeight="1" x14ac:dyDescent="0.2">
      <c r="A3" t="s">
        <v>9</v>
      </c>
      <c r="B3" t="s">
        <v>40</v>
      </c>
      <c r="C3">
        <v>0</v>
      </c>
      <c r="D3">
        <v>14</v>
      </c>
    </row>
    <row r="4" spans="1:4" ht="15" customHeight="1" x14ac:dyDescent="0.2">
      <c r="A4" t="s">
        <v>9</v>
      </c>
      <c r="B4" t="s">
        <v>42</v>
      </c>
      <c r="C4">
        <v>0</v>
      </c>
      <c r="D4">
        <v>14</v>
      </c>
    </row>
    <row r="5" spans="1:4" ht="15" customHeight="1" x14ac:dyDescent="0.2">
      <c r="A5" t="s">
        <v>9</v>
      </c>
      <c r="B5" t="s">
        <v>41</v>
      </c>
      <c r="C5">
        <v>0</v>
      </c>
      <c r="D5">
        <v>12.4</v>
      </c>
    </row>
    <row r="6" spans="1:4" ht="15" customHeight="1" x14ac:dyDescent="0.2">
      <c r="A6" t="s">
        <v>9</v>
      </c>
      <c r="B6" t="s">
        <v>38</v>
      </c>
      <c r="C6">
        <v>0</v>
      </c>
      <c r="D6">
        <v>4.7</v>
      </c>
    </row>
    <row r="7" spans="1:4" ht="15" customHeight="1" x14ac:dyDescent="0.2">
      <c r="A7" t="s">
        <v>9</v>
      </c>
      <c r="B7" t="s">
        <v>39</v>
      </c>
      <c r="C7">
        <v>0</v>
      </c>
      <c r="D7">
        <v>3.1</v>
      </c>
    </row>
    <row r="8" spans="1:4" ht="15" customHeight="1" x14ac:dyDescent="0.2">
      <c r="A8" t="s">
        <v>10</v>
      </c>
      <c r="B8" t="s">
        <v>42</v>
      </c>
      <c r="C8">
        <v>105</v>
      </c>
      <c r="D8">
        <v>0</v>
      </c>
    </row>
    <row r="9" spans="1:4" ht="15" customHeight="1" x14ac:dyDescent="0.2">
      <c r="A9" t="s">
        <v>10</v>
      </c>
      <c r="B9" t="s">
        <v>40</v>
      </c>
      <c r="C9">
        <v>0</v>
      </c>
      <c r="D9">
        <v>15</v>
      </c>
    </row>
    <row r="10" spans="1:4" ht="15" customHeight="1" x14ac:dyDescent="0.2">
      <c r="A10" t="s">
        <v>10</v>
      </c>
      <c r="B10" t="s">
        <v>42</v>
      </c>
      <c r="C10">
        <v>0</v>
      </c>
      <c r="D10">
        <v>15</v>
      </c>
    </row>
    <row r="11" spans="1:4" ht="15" customHeight="1" x14ac:dyDescent="0.2">
      <c r="A11" t="s">
        <v>10</v>
      </c>
      <c r="B11" t="s">
        <v>41</v>
      </c>
      <c r="C11">
        <v>0</v>
      </c>
      <c r="D11">
        <v>13.2</v>
      </c>
    </row>
    <row r="12" spans="1:4" ht="15" customHeight="1" x14ac:dyDescent="0.2">
      <c r="A12" t="s">
        <v>10</v>
      </c>
      <c r="B12" t="s">
        <v>38</v>
      </c>
      <c r="C12">
        <v>0</v>
      </c>
      <c r="D12">
        <v>4.7</v>
      </c>
    </row>
    <row r="13" spans="1:4" ht="15" customHeight="1" x14ac:dyDescent="0.2">
      <c r="A13" t="s">
        <v>10</v>
      </c>
      <c r="B13" t="s">
        <v>39</v>
      </c>
      <c r="C13">
        <v>0</v>
      </c>
      <c r="D13">
        <v>3.1</v>
      </c>
    </row>
    <row r="14" spans="1:4" ht="15" customHeight="1" x14ac:dyDescent="0.2">
      <c r="A14" t="s">
        <v>11</v>
      </c>
      <c r="B14" t="s">
        <v>42</v>
      </c>
      <c r="C14">
        <v>110</v>
      </c>
      <c r="D14">
        <v>0</v>
      </c>
    </row>
    <row r="15" spans="1:4" ht="15" customHeight="1" x14ac:dyDescent="0.2">
      <c r="A15" t="s">
        <v>11</v>
      </c>
      <c r="B15" t="s">
        <v>40</v>
      </c>
      <c r="C15">
        <v>0</v>
      </c>
      <c r="D15">
        <v>15.5</v>
      </c>
    </row>
    <row r="16" spans="1:4" ht="15" customHeight="1" x14ac:dyDescent="0.2">
      <c r="A16" t="s">
        <v>11</v>
      </c>
      <c r="B16" t="s">
        <v>42</v>
      </c>
      <c r="C16">
        <v>0</v>
      </c>
      <c r="D16">
        <v>15.5</v>
      </c>
    </row>
    <row r="17" spans="1:4" ht="15" customHeight="1" x14ac:dyDescent="0.2">
      <c r="A17" t="s">
        <v>11</v>
      </c>
      <c r="B17" t="s">
        <v>41</v>
      </c>
      <c r="C17">
        <v>0</v>
      </c>
      <c r="D17">
        <v>13.6</v>
      </c>
    </row>
    <row r="18" spans="1:4" ht="15" customHeight="1" x14ac:dyDescent="0.2">
      <c r="A18" t="s">
        <v>11</v>
      </c>
      <c r="B18" t="s">
        <v>38</v>
      </c>
      <c r="C18">
        <v>0</v>
      </c>
      <c r="D18">
        <v>4.7</v>
      </c>
    </row>
    <row r="19" spans="1:4" ht="15" customHeight="1" x14ac:dyDescent="0.2">
      <c r="A19" t="s">
        <v>11</v>
      </c>
      <c r="B19" t="s">
        <v>39</v>
      </c>
      <c r="C19">
        <v>0</v>
      </c>
      <c r="D19">
        <v>3.1</v>
      </c>
    </row>
    <row r="20" spans="1:4" ht="15" customHeight="1" x14ac:dyDescent="0.2">
      <c r="A20" t="s">
        <v>12</v>
      </c>
      <c r="B20" t="s">
        <v>42</v>
      </c>
      <c r="C20">
        <v>98</v>
      </c>
      <c r="D20">
        <v>0</v>
      </c>
    </row>
    <row r="21" spans="1:4" ht="15" customHeight="1" x14ac:dyDescent="0.2">
      <c r="A21" t="s">
        <v>12</v>
      </c>
      <c r="B21" t="s">
        <v>40</v>
      </c>
      <c r="C21">
        <v>0</v>
      </c>
      <c r="D21">
        <v>12.34</v>
      </c>
    </row>
    <row r="22" spans="1:4" ht="15" customHeight="1" x14ac:dyDescent="0.2">
      <c r="A22" t="s">
        <v>12</v>
      </c>
      <c r="B22" t="s">
        <v>42</v>
      </c>
      <c r="C22">
        <v>0</v>
      </c>
      <c r="D22">
        <v>14.3</v>
      </c>
    </row>
    <row r="23" spans="1:4" ht="15" customHeight="1" x14ac:dyDescent="0.2">
      <c r="A23" t="s">
        <v>12</v>
      </c>
      <c r="B23" t="s">
        <v>41</v>
      </c>
      <c r="C23">
        <v>0</v>
      </c>
      <c r="D23">
        <v>12.64</v>
      </c>
    </row>
    <row r="24" spans="1:4" ht="15" customHeight="1" x14ac:dyDescent="0.2">
      <c r="A24" t="s">
        <v>12</v>
      </c>
      <c r="B24" t="s">
        <v>38</v>
      </c>
      <c r="C24">
        <v>0</v>
      </c>
      <c r="D24">
        <v>4.7</v>
      </c>
    </row>
    <row r="25" spans="1:4" ht="15" customHeight="1" x14ac:dyDescent="0.2">
      <c r="A25" t="s">
        <v>12</v>
      </c>
      <c r="B25" t="s">
        <v>39</v>
      </c>
      <c r="C25">
        <v>0</v>
      </c>
      <c r="D25">
        <v>3.1</v>
      </c>
    </row>
    <row r="26" spans="1:4" ht="15" customHeight="1" x14ac:dyDescent="0.2">
      <c r="A26" t="s">
        <v>13</v>
      </c>
      <c r="B26" t="s">
        <v>42</v>
      </c>
      <c r="C26">
        <v>102</v>
      </c>
      <c r="D26">
        <v>0</v>
      </c>
    </row>
    <row r="27" spans="1:4" ht="15" customHeight="1" x14ac:dyDescent="0.2">
      <c r="A27" t="s">
        <v>13</v>
      </c>
      <c r="B27" t="s">
        <v>40</v>
      </c>
      <c r="C27">
        <v>0</v>
      </c>
      <c r="D27">
        <v>12.66</v>
      </c>
    </row>
    <row r="28" spans="1:4" ht="15" customHeight="1" x14ac:dyDescent="0.2">
      <c r="A28" t="s">
        <v>13</v>
      </c>
      <c r="B28" t="s">
        <v>42</v>
      </c>
      <c r="C28">
        <v>0</v>
      </c>
      <c r="D28">
        <v>14.7</v>
      </c>
    </row>
    <row r="29" spans="1:4" ht="15" customHeight="1" x14ac:dyDescent="0.2">
      <c r="A29" t="s">
        <v>13</v>
      </c>
      <c r="B29" t="s">
        <v>41</v>
      </c>
      <c r="C29">
        <v>0</v>
      </c>
      <c r="D29">
        <v>12.96</v>
      </c>
    </row>
    <row r="30" spans="1:4" ht="15" customHeight="1" x14ac:dyDescent="0.2">
      <c r="A30" t="s">
        <v>13</v>
      </c>
      <c r="B30" t="s">
        <v>38</v>
      </c>
      <c r="C30">
        <v>0</v>
      </c>
      <c r="D30">
        <v>4.7</v>
      </c>
    </row>
    <row r="31" spans="1:4" ht="15" customHeight="1" x14ac:dyDescent="0.2">
      <c r="A31" t="s">
        <v>13</v>
      </c>
      <c r="B31" t="s">
        <v>39</v>
      </c>
      <c r="C31">
        <v>0</v>
      </c>
      <c r="D31">
        <v>3.1</v>
      </c>
    </row>
    <row r="32" spans="1:4" ht="15" customHeight="1" x14ac:dyDescent="0.2">
      <c r="A32" t="s">
        <v>14</v>
      </c>
      <c r="B32" t="s">
        <v>42</v>
      </c>
      <c r="C32">
        <v>108</v>
      </c>
      <c r="D32">
        <v>0</v>
      </c>
    </row>
    <row r="33" spans="1:4" ht="15" customHeight="1" x14ac:dyDescent="0.2">
      <c r="A33" t="s">
        <v>14</v>
      </c>
      <c r="B33" t="s">
        <v>40</v>
      </c>
      <c r="C33">
        <v>0</v>
      </c>
      <c r="D33">
        <v>13.14</v>
      </c>
    </row>
    <row r="34" spans="1:4" ht="15" customHeight="1" x14ac:dyDescent="0.2">
      <c r="A34" t="s">
        <v>14</v>
      </c>
      <c r="B34" t="s">
        <v>42</v>
      </c>
      <c r="C34">
        <v>0</v>
      </c>
      <c r="D34">
        <v>15.3</v>
      </c>
    </row>
    <row r="35" spans="1:4" ht="15" customHeight="1" x14ac:dyDescent="0.2">
      <c r="A35" t="s">
        <v>14</v>
      </c>
      <c r="B35" t="s">
        <v>41</v>
      </c>
      <c r="C35">
        <v>0</v>
      </c>
      <c r="D35">
        <v>13.44</v>
      </c>
    </row>
    <row r="36" spans="1:4" ht="15" customHeight="1" x14ac:dyDescent="0.2">
      <c r="A36" t="s">
        <v>14</v>
      </c>
      <c r="B36" t="s">
        <v>38</v>
      </c>
      <c r="C36">
        <v>0</v>
      </c>
      <c r="D36">
        <v>4.7</v>
      </c>
    </row>
    <row r="37" spans="1:4" ht="15" customHeight="1" x14ac:dyDescent="0.2">
      <c r="A37" t="s">
        <v>14</v>
      </c>
      <c r="B37" t="s">
        <v>39</v>
      </c>
      <c r="C37">
        <v>0</v>
      </c>
      <c r="D37">
        <v>3.1</v>
      </c>
    </row>
    <row r="38" spans="1:4" ht="15" customHeight="1" x14ac:dyDescent="0.2">
      <c r="A38" t="s">
        <v>15</v>
      </c>
      <c r="B38" t="s">
        <v>42</v>
      </c>
      <c r="C38">
        <v>125</v>
      </c>
      <c r="D38">
        <v>0</v>
      </c>
    </row>
    <row r="39" spans="1:4" ht="15" customHeight="1" x14ac:dyDescent="0.2">
      <c r="A39" t="s">
        <v>15</v>
      </c>
      <c r="B39" t="s">
        <v>40</v>
      </c>
      <c r="C39">
        <v>0</v>
      </c>
      <c r="D39">
        <v>23.25</v>
      </c>
    </row>
    <row r="40" spans="1:4" ht="15" customHeight="1" x14ac:dyDescent="0.2">
      <c r="A40" t="s">
        <v>15</v>
      </c>
      <c r="B40" t="s">
        <v>42</v>
      </c>
      <c r="C40">
        <v>0</v>
      </c>
      <c r="D40">
        <v>17</v>
      </c>
    </row>
    <row r="41" spans="1:4" ht="15" customHeight="1" x14ac:dyDescent="0.2">
      <c r="A41" t="s">
        <v>15</v>
      </c>
      <c r="B41" t="s">
        <v>41</v>
      </c>
      <c r="C41">
        <v>0</v>
      </c>
      <c r="D41">
        <v>14.8</v>
      </c>
    </row>
    <row r="42" spans="1:4" ht="15" customHeight="1" x14ac:dyDescent="0.2">
      <c r="A42" t="s">
        <v>15</v>
      </c>
      <c r="B42" t="s">
        <v>38</v>
      </c>
      <c r="C42">
        <v>0</v>
      </c>
      <c r="D42">
        <v>4.7</v>
      </c>
    </row>
    <row r="43" spans="1:4" ht="15" customHeight="1" x14ac:dyDescent="0.2">
      <c r="A43" t="s">
        <v>15</v>
      </c>
      <c r="B43" t="s">
        <v>39</v>
      </c>
      <c r="C43">
        <v>0</v>
      </c>
      <c r="D43">
        <v>3.1</v>
      </c>
    </row>
    <row r="44" spans="1:4" ht="15" customHeight="1" x14ac:dyDescent="0.2">
      <c r="A44" t="s">
        <v>16</v>
      </c>
      <c r="B44" t="s">
        <v>42</v>
      </c>
      <c r="C44">
        <v>135</v>
      </c>
      <c r="D44">
        <v>0</v>
      </c>
    </row>
    <row r="45" spans="1:4" ht="15" customHeight="1" x14ac:dyDescent="0.2">
      <c r="A45" t="s">
        <v>16</v>
      </c>
      <c r="B45" t="s">
        <v>40</v>
      </c>
      <c r="C45">
        <v>0</v>
      </c>
      <c r="D45">
        <v>24.75</v>
      </c>
    </row>
    <row r="46" spans="1:4" ht="15" customHeight="1" x14ac:dyDescent="0.2">
      <c r="A46" t="s">
        <v>16</v>
      </c>
      <c r="B46" t="s">
        <v>42</v>
      </c>
      <c r="C46">
        <v>0</v>
      </c>
      <c r="D46">
        <v>18</v>
      </c>
    </row>
    <row r="47" spans="1:4" ht="15" customHeight="1" x14ac:dyDescent="0.2">
      <c r="A47" t="s">
        <v>16</v>
      </c>
      <c r="B47" t="s">
        <v>41</v>
      </c>
      <c r="C47">
        <v>0</v>
      </c>
      <c r="D47">
        <v>15.6</v>
      </c>
    </row>
    <row r="48" spans="1:4" ht="15" customHeight="1" x14ac:dyDescent="0.2">
      <c r="A48" t="s">
        <v>16</v>
      </c>
      <c r="B48" t="s">
        <v>38</v>
      </c>
      <c r="C48">
        <v>0</v>
      </c>
      <c r="D48">
        <v>4.7</v>
      </c>
    </row>
    <row r="49" spans="1:4" ht="15" customHeight="1" x14ac:dyDescent="0.2">
      <c r="A49" t="s">
        <v>16</v>
      </c>
      <c r="B49" t="s">
        <v>39</v>
      </c>
      <c r="C49">
        <v>0</v>
      </c>
      <c r="D49">
        <v>3.1</v>
      </c>
    </row>
    <row r="50" spans="1:4" ht="15" customHeight="1" x14ac:dyDescent="0.2">
      <c r="A50" t="s">
        <v>17</v>
      </c>
      <c r="B50" t="s">
        <v>42</v>
      </c>
      <c r="C50">
        <v>115</v>
      </c>
      <c r="D50">
        <v>0</v>
      </c>
    </row>
    <row r="51" spans="1:4" ht="15" customHeight="1" x14ac:dyDescent="0.2">
      <c r="A51" t="s">
        <v>17</v>
      </c>
      <c r="B51" t="s">
        <v>40</v>
      </c>
      <c r="C51">
        <v>0</v>
      </c>
      <c r="D51">
        <v>13.7</v>
      </c>
    </row>
    <row r="52" spans="1:4" ht="15" customHeight="1" x14ac:dyDescent="0.2">
      <c r="A52" t="s">
        <v>17</v>
      </c>
      <c r="B52" t="s">
        <v>42</v>
      </c>
      <c r="C52">
        <v>0</v>
      </c>
      <c r="D52">
        <v>16</v>
      </c>
    </row>
    <row r="53" spans="1:4" ht="15" customHeight="1" x14ac:dyDescent="0.2">
      <c r="A53" t="s">
        <v>17</v>
      </c>
      <c r="B53" t="s">
        <v>41</v>
      </c>
      <c r="C53">
        <v>0</v>
      </c>
      <c r="D53">
        <v>14</v>
      </c>
    </row>
    <row r="54" spans="1:4" ht="15" customHeight="1" x14ac:dyDescent="0.2">
      <c r="A54" t="s">
        <v>17</v>
      </c>
      <c r="B54" t="s">
        <v>38</v>
      </c>
      <c r="C54">
        <v>0</v>
      </c>
      <c r="D54">
        <v>4.7</v>
      </c>
    </row>
    <row r="55" spans="1:4" ht="15" customHeight="1" x14ac:dyDescent="0.2">
      <c r="A55" t="s">
        <v>17</v>
      </c>
      <c r="B55" t="s">
        <v>39</v>
      </c>
      <c r="C55">
        <v>0</v>
      </c>
      <c r="D55">
        <v>3.1</v>
      </c>
    </row>
    <row r="56" spans="1:4" ht="15" customHeight="1" x14ac:dyDescent="0.2">
      <c r="A56" t="s">
        <v>18</v>
      </c>
      <c r="B56" t="s">
        <v>42</v>
      </c>
      <c r="C56">
        <v>90</v>
      </c>
      <c r="D56">
        <v>0</v>
      </c>
    </row>
    <row r="57" spans="1:4" ht="15" customHeight="1" x14ac:dyDescent="0.2">
      <c r="A57" t="s">
        <v>18</v>
      </c>
      <c r="B57" t="s">
        <v>40</v>
      </c>
      <c r="C57">
        <v>0</v>
      </c>
      <c r="D57">
        <v>11.7</v>
      </c>
    </row>
    <row r="58" spans="1:4" ht="15" customHeight="1" x14ac:dyDescent="0.2">
      <c r="A58" t="s">
        <v>18</v>
      </c>
      <c r="B58" t="s">
        <v>42</v>
      </c>
      <c r="C58">
        <v>0</v>
      </c>
      <c r="D58">
        <v>13.5</v>
      </c>
    </row>
    <row r="59" spans="1:4" ht="15" customHeight="1" x14ac:dyDescent="0.2">
      <c r="A59" t="s">
        <v>18</v>
      </c>
      <c r="B59" t="s">
        <v>41</v>
      </c>
      <c r="C59">
        <v>0</v>
      </c>
      <c r="D59">
        <v>12</v>
      </c>
    </row>
    <row r="60" spans="1:4" ht="15" customHeight="1" x14ac:dyDescent="0.2">
      <c r="A60" t="s">
        <v>18</v>
      </c>
      <c r="B60" t="s">
        <v>38</v>
      </c>
      <c r="C60">
        <v>0</v>
      </c>
      <c r="D60">
        <v>4.7</v>
      </c>
    </row>
    <row r="61" spans="1:4" ht="15" customHeight="1" x14ac:dyDescent="0.2">
      <c r="A61" t="s">
        <v>18</v>
      </c>
      <c r="B61" t="s">
        <v>39</v>
      </c>
      <c r="C61">
        <v>0</v>
      </c>
      <c r="D61">
        <v>3.1</v>
      </c>
    </row>
    <row r="62" spans="1:4" ht="15" customHeight="1" x14ac:dyDescent="0.2">
      <c r="A62" t="s">
        <v>19</v>
      </c>
      <c r="B62" t="s">
        <v>42</v>
      </c>
      <c r="C62">
        <v>92</v>
      </c>
      <c r="D62">
        <v>0</v>
      </c>
    </row>
    <row r="63" spans="1:4" ht="15" customHeight="1" x14ac:dyDescent="0.2">
      <c r="A63" t="s">
        <v>19</v>
      </c>
      <c r="B63" t="s">
        <v>40</v>
      </c>
      <c r="C63">
        <v>0</v>
      </c>
      <c r="D63">
        <v>11.86</v>
      </c>
    </row>
    <row r="64" spans="1:4" ht="15" customHeight="1" x14ac:dyDescent="0.2">
      <c r="A64" t="s">
        <v>19</v>
      </c>
      <c r="B64" t="s">
        <v>42</v>
      </c>
      <c r="C64">
        <v>0</v>
      </c>
      <c r="D64">
        <v>13.7</v>
      </c>
    </row>
    <row r="65" spans="1:4" ht="15" customHeight="1" x14ac:dyDescent="0.2">
      <c r="A65" t="s">
        <v>19</v>
      </c>
      <c r="B65" t="s">
        <v>41</v>
      </c>
      <c r="C65">
        <v>0</v>
      </c>
      <c r="D65">
        <v>12.16</v>
      </c>
    </row>
    <row r="66" spans="1:4" ht="15" customHeight="1" x14ac:dyDescent="0.2">
      <c r="A66" t="s">
        <v>19</v>
      </c>
      <c r="B66" t="s">
        <v>38</v>
      </c>
      <c r="C66">
        <v>0</v>
      </c>
      <c r="D66">
        <v>4.7</v>
      </c>
    </row>
    <row r="67" spans="1:4" ht="15" customHeight="1" x14ac:dyDescent="0.2">
      <c r="A67" t="s">
        <v>19</v>
      </c>
      <c r="B67" t="s">
        <v>39</v>
      </c>
      <c r="C67">
        <v>0</v>
      </c>
      <c r="D67">
        <v>3.1</v>
      </c>
    </row>
    <row r="68" spans="1:4" ht="15" customHeight="1" x14ac:dyDescent="0.2">
      <c r="A68" t="s">
        <v>20</v>
      </c>
      <c r="B68" t="s">
        <v>42</v>
      </c>
      <c r="C68">
        <v>100</v>
      </c>
      <c r="D68">
        <v>0</v>
      </c>
    </row>
    <row r="69" spans="1:4" ht="15" customHeight="1" x14ac:dyDescent="0.2">
      <c r="A69" t="s">
        <v>20</v>
      </c>
      <c r="B69" t="s">
        <v>40</v>
      </c>
      <c r="C69">
        <v>0</v>
      </c>
      <c r="D69">
        <v>12.5</v>
      </c>
    </row>
    <row r="70" spans="1:4" ht="15" customHeight="1" x14ac:dyDescent="0.2">
      <c r="A70" t="s">
        <v>20</v>
      </c>
      <c r="B70" t="s">
        <v>42</v>
      </c>
      <c r="C70">
        <v>0</v>
      </c>
      <c r="D70">
        <v>14.5</v>
      </c>
    </row>
    <row r="71" spans="1:4" ht="15" customHeight="1" x14ac:dyDescent="0.2">
      <c r="A71" t="s">
        <v>20</v>
      </c>
      <c r="B71" t="s">
        <v>41</v>
      </c>
      <c r="C71">
        <v>0</v>
      </c>
      <c r="D71">
        <v>12.8</v>
      </c>
    </row>
    <row r="72" spans="1:4" ht="15" customHeight="1" x14ac:dyDescent="0.2">
      <c r="A72" t="s">
        <v>20</v>
      </c>
      <c r="B72" t="s">
        <v>38</v>
      </c>
      <c r="C72">
        <v>0</v>
      </c>
      <c r="D72">
        <v>4.7</v>
      </c>
    </row>
    <row r="73" spans="1:4" ht="15" customHeight="1" x14ac:dyDescent="0.2">
      <c r="A73" t="s">
        <v>20</v>
      </c>
      <c r="B73" t="s">
        <v>39</v>
      </c>
      <c r="C73">
        <v>0</v>
      </c>
      <c r="D73">
        <v>3.1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Helper</vt:lpstr>
      <vt:lpstr>variance</vt:lpstr>
      <vt:lpstr>Dept_Summary</vt:lpstr>
      <vt:lpstr>actual summary</vt:lpstr>
      <vt:lpstr>budget summary</vt:lpstr>
      <vt:lpstr>Raw_Data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Yadav</cp:lastModifiedBy>
  <cp:revision>2</cp:revision>
  <dcterms:created xsi:type="dcterms:W3CDTF">2026-01-24T12:04:26Z</dcterms:created>
  <dcterms:modified xsi:type="dcterms:W3CDTF">2026-09-12T14:44:56Z</dcterms:modified>
  <dc:language>en-US</dc:language>
</cp:coreProperties>
</file>